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08 MD Officer\21. IMPROVEMENT PLANT\project_breakdown\data\raw\"/>
    </mc:Choice>
  </mc:AlternateContent>
  <xr:revisionPtr revIDLastSave="0" documentId="13_ncr:1_{31A13694-DA4D-4DF8-B6B1-5848A1AC1B75}" xr6:coauthVersionLast="47" xr6:coauthVersionMax="47" xr10:uidLastSave="{00000000-0000-0000-0000-000000000000}"/>
  <bookViews>
    <workbookView xWindow="-110" yWindow="-110" windowWidth="19420" windowHeight="10300" xr2:uid="{2FF2E894-6221-4D0D-A0E9-6A2B15FA73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6" i="1" l="1"/>
  <c r="N586" i="1"/>
  <c r="O585" i="1"/>
  <c r="N585" i="1"/>
  <c r="N584" i="1"/>
  <c r="O584" i="1" s="1"/>
  <c r="N583" i="1"/>
  <c r="O583" i="1" s="1"/>
  <c r="N582" i="1"/>
  <c r="O582" i="1" s="1"/>
  <c r="O581" i="1"/>
  <c r="N581" i="1"/>
  <c r="O580" i="1"/>
  <c r="N580" i="1"/>
  <c r="O579" i="1"/>
  <c r="N579" i="1"/>
  <c r="N578" i="1"/>
  <c r="O578" i="1" s="1"/>
  <c r="O577" i="1"/>
  <c r="N577" i="1"/>
  <c r="N576" i="1"/>
  <c r="O576" i="1" s="1"/>
  <c r="N575" i="1"/>
  <c r="O575" i="1" s="1"/>
  <c r="O574" i="1"/>
  <c r="N574" i="1"/>
  <c r="O573" i="1"/>
  <c r="N573" i="1"/>
  <c r="N572" i="1"/>
  <c r="O572" i="1" s="1"/>
  <c r="N571" i="1"/>
  <c r="O571" i="1" s="1"/>
  <c r="N570" i="1"/>
  <c r="O570" i="1" s="1"/>
  <c r="N569" i="1"/>
  <c r="O569" i="1" s="1"/>
  <c r="O568" i="1"/>
  <c r="N568" i="1"/>
  <c r="O567" i="1"/>
  <c r="N567" i="1"/>
  <c r="N566" i="1"/>
  <c r="O566" i="1" s="1"/>
  <c r="N565" i="1"/>
  <c r="O565" i="1" s="1"/>
  <c r="O564" i="1"/>
  <c r="N564" i="1"/>
  <c r="N563" i="1"/>
  <c r="O563" i="1" s="1"/>
  <c r="O562" i="1"/>
  <c r="N562" i="1"/>
  <c r="O561" i="1"/>
  <c r="N561" i="1"/>
  <c r="N560" i="1"/>
  <c r="O560" i="1" s="1"/>
  <c r="O559" i="1"/>
  <c r="N559" i="1"/>
  <c r="N558" i="1"/>
  <c r="O558" i="1" s="1"/>
  <c r="N557" i="1"/>
  <c r="O557" i="1" s="1"/>
  <c r="O556" i="1"/>
  <c r="N556" i="1"/>
  <c r="O555" i="1"/>
  <c r="N555" i="1"/>
  <c r="N554" i="1"/>
  <c r="O554" i="1" s="1"/>
  <c r="N553" i="1"/>
  <c r="O553" i="1" s="1"/>
  <c r="N552" i="1"/>
  <c r="O552" i="1" s="1"/>
  <c r="O551" i="1"/>
  <c r="N551" i="1"/>
  <c r="O550" i="1"/>
  <c r="N550" i="1"/>
  <c r="O549" i="1"/>
  <c r="N549" i="1"/>
  <c r="N548" i="1"/>
  <c r="O548" i="1" s="1"/>
  <c r="O547" i="1"/>
  <c r="N547" i="1"/>
  <c r="O546" i="1"/>
  <c r="N546" i="1"/>
  <c r="N545" i="1"/>
  <c r="O545" i="1" s="1"/>
  <c r="O544" i="1"/>
  <c r="N544" i="1"/>
  <c r="O543" i="1"/>
  <c r="N543" i="1"/>
  <c r="N542" i="1"/>
  <c r="O542" i="1" s="1"/>
  <c r="N541" i="1"/>
  <c r="O541" i="1" s="1"/>
  <c r="N540" i="1"/>
  <c r="O540" i="1" s="1"/>
  <c r="N539" i="1"/>
  <c r="O539" i="1" s="1"/>
  <c r="O538" i="1"/>
  <c r="N538" i="1"/>
  <c r="O537" i="1"/>
  <c r="N537" i="1"/>
  <c r="N536" i="1"/>
  <c r="O536" i="1" s="1"/>
  <c r="N535" i="1"/>
  <c r="O535" i="1" s="1"/>
  <c r="O534" i="1"/>
  <c r="N534" i="1"/>
  <c r="O533" i="1"/>
  <c r="N533" i="1"/>
  <c r="O532" i="1"/>
  <c r="N532" i="1"/>
  <c r="O531" i="1"/>
  <c r="N531" i="1"/>
  <c r="N530" i="1"/>
  <c r="O530" i="1" s="1"/>
  <c r="N529" i="1"/>
  <c r="O529" i="1" s="1"/>
  <c r="N528" i="1"/>
  <c r="O528" i="1" s="1"/>
  <c r="N527" i="1"/>
  <c r="O527" i="1" s="1"/>
  <c r="O526" i="1"/>
  <c r="N526" i="1"/>
  <c r="O525" i="1"/>
  <c r="N525" i="1"/>
  <c r="N524" i="1"/>
  <c r="O524" i="1" s="1"/>
  <c r="N523" i="1"/>
  <c r="O523" i="1" s="1"/>
  <c r="N522" i="1"/>
  <c r="O522" i="1" s="1"/>
  <c r="O521" i="1"/>
  <c r="N521" i="1"/>
  <c r="O520" i="1"/>
  <c r="N520" i="1"/>
  <c r="O519" i="1"/>
  <c r="N519" i="1"/>
  <c r="N518" i="1"/>
  <c r="O518" i="1" s="1"/>
  <c r="N517" i="1"/>
  <c r="O517" i="1" s="1"/>
  <c r="N516" i="1"/>
  <c r="O516" i="1" s="1"/>
  <c r="N515" i="1"/>
  <c r="O515" i="1" s="1"/>
  <c r="O514" i="1"/>
  <c r="N514" i="1"/>
  <c r="O513" i="1"/>
  <c r="N513" i="1"/>
  <c r="N512" i="1"/>
  <c r="O512" i="1" s="1"/>
  <c r="N511" i="1"/>
  <c r="O511" i="1" s="1"/>
  <c r="N510" i="1"/>
  <c r="O510" i="1" s="1"/>
  <c r="N509" i="1"/>
  <c r="O509" i="1" s="1"/>
  <c r="O508" i="1"/>
  <c r="N508" i="1"/>
  <c r="O507" i="1"/>
  <c r="N507" i="1"/>
  <c r="N506" i="1"/>
  <c r="O506" i="1" s="1"/>
  <c r="O505" i="1"/>
  <c r="N505" i="1"/>
  <c r="N504" i="1"/>
  <c r="O504" i="1" s="1"/>
  <c r="N503" i="1"/>
  <c r="O503" i="1" s="1"/>
  <c r="O502" i="1"/>
  <c r="N502" i="1"/>
  <c r="O501" i="1"/>
  <c r="N501" i="1"/>
  <c r="N500" i="1"/>
  <c r="O500" i="1" s="1"/>
  <c r="N499" i="1"/>
  <c r="O499" i="1" s="1"/>
  <c r="N498" i="1"/>
  <c r="O498" i="1" s="1"/>
  <c r="N497" i="1"/>
  <c r="O497" i="1" s="1"/>
  <c r="O496" i="1"/>
  <c r="N496" i="1"/>
  <c r="O495" i="1"/>
  <c r="N495" i="1"/>
  <c r="N494" i="1"/>
  <c r="O494" i="1" s="1"/>
  <c r="N493" i="1"/>
  <c r="O493" i="1" s="1"/>
  <c r="O492" i="1"/>
  <c r="N492" i="1"/>
  <c r="N491" i="1"/>
  <c r="O491" i="1" s="1"/>
  <c r="O490" i="1"/>
  <c r="N490" i="1"/>
  <c r="O489" i="1"/>
  <c r="N489" i="1"/>
  <c r="N488" i="1"/>
  <c r="O488" i="1" s="1"/>
  <c r="O487" i="1"/>
  <c r="N487" i="1"/>
  <c r="N486" i="1"/>
  <c r="O486" i="1" s="1"/>
  <c r="N485" i="1"/>
  <c r="O485" i="1" s="1"/>
  <c r="O484" i="1"/>
  <c r="N484" i="1"/>
  <c r="O483" i="1"/>
  <c r="N483" i="1"/>
  <c r="N482" i="1"/>
  <c r="O482" i="1" s="1"/>
  <c r="N481" i="1"/>
  <c r="O481" i="1" s="1"/>
  <c r="N480" i="1"/>
  <c r="O480" i="1" s="1"/>
  <c r="O479" i="1"/>
  <c r="N479" i="1"/>
  <c r="O478" i="1"/>
  <c r="N478" i="1"/>
  <c r="O477" i="1"/>
  <c r="N477" i="1"/>
  <c r="N476" i="1"/>
  <c r="O476" i="1" s="1"/>
  <c r="O475" i="1"/>
  <c r="N475" i="1"/>
  <c r="O474" i="1"/>
  <c r="N474" i="1"/>
  <c r="N473" i="1"/>
  <c r="O473" i="1" s="1"/>
  <c r="O472" i="1"/>
  <c r="N472" i="1"/>
  <c r="O471" i="1"/>
  <c r="N471" i="1"/>
  <c r="N470" i="1"/>
  <c r="O470" i="1" s="1"/>
  <c r="N469" i="1"/>
  <c r="O469" i="1" s="1"/>
  <c r="N468" i="1"/>
  <c r="O468" i="1" s="1"/>
  <c r="N467" i="1"/>
  <c r="O467" i="1" s="1"/>
  <c r="O466" i="1"/>
  <c r="N466" i="1"/>
  <c r="O465" i="1"/>
  <c r="N465" i="1"/>
  <c r="N464" i="1"/>
  <c r="O464" i="1" s="1"/>
  <c r="N463" i="1"/>
  <c r="O463" i="1" s="1"/>
  <c r="O462" i="1"/>
  <c r="N462" i="1"/>
  <c r="O461" i="1"/>
  <c r="N461" i="1"/>
  <c r="O460" i="1"/>
  <c r="N460" i="1"/>
  <c r="O459" i="1"/>
  <c r="N459" i="1"/>
  <c r="N458" i="1"/>
  <c r="O458" i="1" s="1"/>
  <c r="N457" i="1"/>
  <c r="O457" i="1" s="1"/>
  <c r="N456" i="1"/>
  <c r="O456" i="1" s="1"/>
  <c r="N455" i="1"/>
  <c r="O455" i="1" s="1"/>
  <c r="O454" i="1"/>
  <c r="N454" i="1"/>
  <c r="O453" i="1"/>
  <c r="N453" i="1"/>
  <c r="N452" i="1"/>
  <c r="O452" i="1" s="1"/>
  <c r="N451" i="1"/>
  <c r="O451" i="1" s="1"/>
  <c r="N450" i="1"/>
  <c r="O450" i="1" s="1"/>
  <c r="O449" i="1"/>
  <c r="N449" i="1"/>
  <c r="O448" i="1"/>
  <c r="N448" i="1"/>
  <c r="O447" i="1"/>
  <c r="N447" i="1"/>
  <c r="N446" i="1"/>
  <c r="O446" i="1" s="1"/>
  <c r="N445" i="1"/>
  <c r="O445" i="1" s="1"/>
  <c r="N444" i="1"/>
  <c r="O444" i="1" s="1"/>
  <c r="N443" i="1"/>
  <c r="O443" i="1" s="1"/>
  <c r="O442" i="1"/>
  <c r="N442" i="1"/>
  <c r="O441" i="1"/>
  <c r="N441" i="1"/>
  <c r="N440" i="1"/>
  <c r="O440" i="1" s="1"/>
  <c r="N439" i="1"/>
  <c r="O439" i="1" s="1"/>
  <c r="N438" i="1"/>
  <c r="O438" i="1" s="1"/>
  <c r="N437" i="1"/>
  <c r="O437" i="1" s="1"/>
  <c r="O436" i="1"/>
  <c r="N436" i="1"/>
  <c r="O435" i="1"/>
  <c r="N435" i="1"/>
  <c r="N434" i="1"/>
  <c r="O434" i="1" s="1"/>
  <c r="O433" i="1"/>
  <c r="N433" i="1"/>
  <c r="N432" i="1"/>
  <c r="O432" i="1" s="1"/>
  <c r="N431" i="1"/>
  <c r="O431" i="1" s="1"/>
  <c r="O430" i="1"/>
  <c r="N430" i="1"/>
  <c r="O429" i="1"/>
  <c r="N429" i="1"/>
  <c r="N428" i="1"/>
  <c r="O428" i="1" s="1"/>
  <c r="N427" i="1"/>
  <c r="O427" i="1" s="1"/>
  <c r="N426" i="1"/>
  <c r="O426" i="1" s="1"/>
  <c r="N425" i="1"/>
  <c r="O425" i="1" s="1"/>
  <c r="O424" i="1"/>
  <c r="N424" i="1"/>
  <c r="O423" i="1"/>
  <c r="N423" i="1"/>
  <c r="N422" i="1"/>
  <c r="O422" i="1" s="1"/>
  <c r="N421" i="1"/>
  <c r="O421" i="1" s="1"/>
  <c r="O420" i="1"/>
  <c r="N420" i="1"/>
  <c r="N419" i="1"/>
  <c r="O419" i="1" s="1"/>
  <c r="O418" i="1"/>
  <c r="N418" i="1"/>
  <c r="O417" i="1"/>
  <c r="N417" i="1"/>
  <c r="N416" i="1"/>
  <c r="O416" i="1" s="1"/>
  <c r="O415" i="1"/>
  <c r="N415" i="1"/>
  <c r="N414" i="1"/>
  <c r="O414" i="1" s="1"/>
  <c r="N413" i="1"/>
  <c r="O413" i="1" s="1"/>
  <c r="O412" i="1"/>
  <c r="N412" i="1"/>
  <c r="O411" i="1"/>
  <c r="N411" i="1"/>
  <c r="N410" i="1"/>
  <c r="O410" i="1" s="1"/>
  <c r="N409" i="1"/>
  <c r="O409" i="1" s="1"/>
  <c r="N408" i="1"/>
  <c r="O408" i="1" s="1"/>
  <c r="O407" i="1"/>
  <c r="N407" i="1"/>
  <c r="O406" i="1"/>
  <c r="N406" i="1"/>
  <c r="O405" i="1"/>
  <c r="N405" i="1"/>
  <c r="N404" i="1"/>
  <c r="O404" i="1" s="1"/>
  <c r="O403" i="1"/>
  <c r="N403" i="1"/>
  <c r="O402" i="1"/>
  <c r="N402" i="1"/>
  <c r="N401" i="1"/>
  <c r="O401" i="1" s="1"/>
  <c r="O400" i="1"/>
  <c r="N400" i="1"/>
  <c r="O399" i="1"/>
  <c r="N399" i="1"/>
  <c r="N398" i="1"/>
  <c r="O398" i="1" s="1"/>
  <c r="N397" i="1"/>
  <c r="O397" i="1" s="1"/>
  <c r="N396" i="1"/>
  <c r="O396" i="1" s="1"/>
  <c r="N395" i="1"/>
  <c r="O395" i="1" s="1"/>
  <c r="O394" i="1"/>
  <c r="N394" i="1"/>
  <c r="O393" i="1"/>
  <c r="N393" i="1"/>
  <c r="N392" i="1"/>
  <c r="O392" i="1" s="1"/>
  <c r="N391" i="1"/>
  <c r="O391" i="1" s="1"/>
  <c r="O390" i="1"/>
  <c r="N390" i="1"/>
  <c r="O389" i="1"/>
  <c r="N389" i="1"/>
  <c r="O388" i="1"/>
  <c r="N388" i="1"/>
  <c r="O387" i="1"/>
  <c r="N387" i="1"/>
  <c r="N386" i="1"/>
  <c r="O386" i="1" s="1"/>
  <c r="N385" i="1"/>
  <c r="O385" i="1" s="1"/>
  <c r="N384" i="1"/>
  <c r="O384" i="1" s="1"/>
  <c r="N383" i="1"/>
  <c r="O383" i="1" s="1"/>
  <c r="O382" i="1"/>
  <c r="N382" i="1"/>
  <c r="O381" i="1"/>
  <c r="N381" i="1"/>
  <c r="N380" i="1"/>
  <c r="O380" i="1" s="1"/>
  <c r="N379" i="1"/>
  <c r="O379" i="1" s="1"/>
  <c r="N378" i="1"/>
  <c r="O378" i="1" s="1"/>
  <c r="O377" i="1"/>
  <c r="N377" i="1"/>
  <c r="O376" i="1"/>
  <c r="N376" i="1"/>
  <c r="O375" i="1"/>
  <c r="N375" i="1"/>
  <c r="N374" i="1"/>
  <c r="O374" i="1" s="1"/>
  <c r="N373" i="1"/>
  <c r="O373" i="1" s="1"/>
  <c r="N372" i="1"/>
  <c r="O372" i="1" s="1"/>
  <c r="N371" i="1"/>
  <c r="O371" i="1" s="1"/>
  <c r="O370" i="1"/>
  <c r="N370" i="1"/>
  <c r="O369" i="1"/>
  <c r="N369" i="1"/>
  <c r="N368" i="1"/>
  <c r="O368" i="1" s="1"/>
  <c r="N367" i="1"/>
  <c r="O367" i="1" s="1"/>
  <c r="N366" i="1"/>
  <c r="O366" i="1" s="1"/>
  <c r="N365" i="1"/>
  <c r="O365" i="1" s="1"/>
  <c r="O364" i="1"/>
  <c r="N364" i="1"/>
  <c r="O363" i="1"/>
  <c r="N363" i="1"/>
  <c r="N362" i="1"/>
  <c r="O362" i="1" s="1"/>
  <c r="O361" i="1"/>
  <c r="N361" i="1"/>
  <c r="N360" i="1"/>
  <c r="O360" i="1" s="1"/>
  <c r="N359" i="1"/>
  <c r="O359" i="1" s="1"/>
  <c r="O358" i="1"/>
  <c r="N358" i="1"/>
  <c r="O357" i="1"/>
  <c r="N357" i="1"/>
  <c r="N356" i="1"/>
  <c r="O356" i="1" s="1"/>
  <c r="N355" i="1"/>
  <c r="O355" i="1" s="1"/>
  <c r="N354" i="1"/>
  <c r="O354" i="1" s="1"/>
  <c r="N353" i="1"/>
  <c r="O353" i="1" s="1"/>
  <c r="O352" i="1"/>
  <c r="N352" i="1"/>
  <c r="O351" i="1"/>
  <c r="N351" i="1"/>
  <c r="N350" i="1"/>
  <c r="O350" i="1" s="1"/>
  <c r="N349" i="1"/>
  <c r="O349" i="1" s="1"/>
  <c r="O348" i="1"/>
  <c r="N348" i="1"/>
  <c r="N347" i="1"/>
  <c r="O347" i="1" s="1"/>
  <c r="O346" i="1"/>
  <c r="N346" i="1"/>
  <c r="O345" i="1"/>
  <c r="N345" i="1"/>
  <c r="N344" i="1"/>
  <c r="O344" i="1" s="1"/>
  <c r="O343" i="1"/>
  <c r="N343" i="1"/>
  <c r="N342" i="1"/>
  <c r="O342" i="1" s="1"/>
  <c r="N341" i="1"/>
  <c r="O341" i="1" s="1"/>
  <c r="O340" i="1"/>
  <c r="N340" i="1"/>
  <c r="O339" i="1"/>
  <c r="N339" i="1"/>
  <c r="N338" i="1"/>
  <c r="O338" i="1" s="1"/>
  <c r="N337" i="1"/>
  <c r="O337" i="1" s="1"/>
  <c r="N336" i="1"/>
  <c r="O336" i="1" s="1"/>
  <c r="O335" i="1"/>
  <c r="N335" i="1"/>
  <c r="O334" i="1"/>
  <c r="N334" i="1"/>
  <c r="O333" i="1"/>
  <c r="N333" i="1"/>
  <c r="N332" i="1"/>
  <c r="O332" i="1" s="1"/>
  <c r="O331" i="1"/>
  <c r="N331" i="1"/>
  <c r="O330" i="1"/>
  <c r="N330" i="1"/>
  <c r="N329" i="1"/>
  <c r="O329" i="1" s="1"/>
  <c r="O328" i="1"/>
  <c r="N328" i="1"/>
  <c r="O327" i="1"/>
  <c r="N327" i="1"/>
  <c r="N326" i="1"/>
  <c r="O326" i="1" s="1"/>
  <c r="N325" i="1"/>
  <c r="O325" i="1" s="1"/>
  <c r="N324" i="1"/>
  <c r="O324" i="1" s="1"/>
  <c r="N323" i="1"/>
  <c r="O323" i="1" s="1"/>
  <c r="O322" i="1"/>
  <c r="N322" i="1"/>
  <c r="O321" i="1"/>
  <c r="N321" i="1"/>
  <c r="N320" i="1"/>
  <c r="O320" i="1" s="1"/>
  <c r="N319" i="1"/>
  <c r="O319" i="1" s="1"/>
  <c r="O318" i="1"/>
  <c r="N318" i="1"/>
  <c r="O317" i="1"/>
  <c r="N317" i="1"/>
  <c r="O316" i="1"/>
  <c r="N316" i="1"/>
  <c r="O315" i="1"/>
  <c r="N315" i="1"/>
  <c r="N314" i="1"/>
  <c r="O314" i="1" s="1"/>
  <c r="N313" i="1"/>
  <c r="O313" i="1" s="1"/>
  <c r="N312" i="1"/>
  <c r="O312" i="1" s="1"/>
  <c r="N311" i="1"/>
  <c r="O311" i="1" s="1"/>
  <c r="O310" i="1"/>
  <c r="N310" i="1"/>
  <c r="O309" i="1"/>
  <c r="N309" i="1"/>
  <c r="N308" i="1"/>
  <c r="O308" i="1" s="1"/>
  <c r="N307" i="1"/>
  <c r="O307" i="1" s="1"/>
  <c r="N306" i="1"/>
  <c r="O306" i="1" s="1"/>
  <c r="O305" i="1"/>
  <c r="N305" i="1"/>
  <c r="O304" i="1"/>
  <c r="N304" i="1"/>
  <c r="O303" i="1"/>
  <c r="N303" i="1"/>
  <c r="N302" i="1"/>
  <c r="O302" i="1" s="1"/>
  <c r="N301" i="1"/>
  <c r="O301" i="1" s="1"/>
  <c r="N300" i="1"/>
  <c r="O300" i="1" s="1"/>
  <c r="N299" i="1"/>
  <c r="O299" i="1" s="1"/>
  <c r="O298" i="1"/>
  <c r="N298" i="1"/>
  <c r="O297" i="1"/>
  <c r="N297" i="1"/>
  <c r="N296" i="1"/>
  <c r="O296" i="1" s="1"/>
  <c r="N295" i="1"/>
  <c r="O295" i="1" s="1"/>
  <c r="N294" i="1"/>
  <c r="O294" i="1" s="1"/>
  <c r="N293" i="1"/>
  <c r="O293" i="1" s="1"/>
  <c r="O292" i="1"/>
  <c r="N292" i="1"/>
  <c r="O291" i="1"/>
  <c r="N291" i="1"/>
  <c r="N290" i="1"/>
  <c r="O290" i="1" s="1"/>
  <c r="O289" i="1"/>
  <c r="N289" i="1"/>
  <c r="N288" i="1"/>
  <c r="O288" i="1" s="1"/>
  <c r="N287" i="1"/>
  <c r="O287" i="1" s="1"/>
  <c r="O286" i="1"/>
  <c r="N286" i="1"/>
  <c r="O285" i="1"/>
  <c r="N285" i="1"/>
  <c r="N284" i="1"/>
  <c r="O284" i="1" s="1"/>
  <c r="N283" i="1"/>
  <c r="O283" i="1" s="1"/>
  <c r="N282" i="1"/>
  <c r="O282" i="1" s="1"/>
  <c r="N281" i="1"/>
  <c r="O281" i="1" s="1"/>
  <c r="O280" i="1"/>
  <c r="N280" i="1"/>
  <c r="O279" i="1"/>
  <c r="N279" i="1"/>
  <c r="N278" i="1"/>
  <c r="O278" i="1" s="1"/>
  <c r="N277" i="1"/>
  <c r="O277" i="1" s="1"/>
  <c r="O276" i="1"/>
  <c r="N276" i="1"/>
  <c r="N275" i="1"/>
  <c r="O275" i="1" s="1"/>
  <c r="O274" i="1"/>
  <c r="N274" i="1"/>
  <c r="O273" i="1"/>
  <c r="N273" i="1"/>
  <c r="N272" i="1"/>
  <c r="O272" i="1" s="1"/>
  <c r="O271" i="1"/>
  <c r="N271" i="1"/>
  <c r="N270" i="1"/>
  <c r="O270" i="1" s="1"/>
  <c r="N269" i="1"/>
  <c r="O269" i="1" s="1"/>
  <c r="O268" i="1"/>
  <c r="N268" i="1"/>
  <c r="O267" i="1"/>
  <c r="N267" i="1"/>
  <c r="N266" i="1"/>
  <c r="O266" i="1" s="1"/>
  <c r="O265" i="1"/>
  <c r="N265" i="1"/>
  <c r="N264" i="1"/>
  <c r="O264" i="1" s="1"/>
  <c r="O263" i="1"/>
  <c r="N263" i="1"/>
  <c r="O262" i="1"/>
  <c r="N262" i="1"/>
  <c r="O261" i="1"/>
  <c r="N261" i="1"/>
  <c r="N260" i="1"/>
  <c r="O260" i="1" s="1"/>
  <c r="O259" i="1"/>
  <c r="N259" i="1"/>
  <c r="O258" i="1"/>
  <c r="N258" i="1"/>
  <c r="N257" i="1"/>
  <c r="O257" i="1" s="1"/>
  <c r="O256" i="1"/>
  <c r="N256" i="1"/>
  <c r="O255" i="1"/>
  <c r="N255" i="1"/>
  <c r="N254" i="1"/>
  <c r="O254" i="1" s="1"/>
  <c r="N253" i="1"/>
  <c r="O253" i="1" s="1"/>
  <c r="O252" i="1"/>
  <c r="N252" i="1"/>
  <c r="N251" i="1"/>
  <c r="O251" i="1" s="1"/>
  <c r="O250" i="1"/>
  <c r="N250" i="1"/>
  <c r="O249" i="1"/>
  <c r="N249" i="1"/>
  <c r="N248" i="1"/>
  <c r="O248" i="1" s="1"/>
  <c r="N247" i="1"/>
  <c r="O247" i="1" s="1"/>
  <c r="O246" i="1"/>
  <c r="N246" i="1"/>
  <c r="O245" i="1"/>
  <c r="N245" i="1"/>
  <c r="O244" i="1"/>
  <c r="N244" i="1"/>
  <c r="O243" i="1"/>
  <c r="N243" i="1"/>
  <c r="N242" i="1"/>
  <c r="O242" i="1" s="1"/>
  <c r="N241" i="1"/>
  <c r="O241" i="1" s="1"/>
  <c r="N240" i="1"/>
  <c r="O240" i="1" s="1"/>
  <c r="O239" i="1"/>
  <c r="N239" i="1"/>
  <c r="O238" i="1"/>
  <c r="N238" i="1"/>
  <c r="O237" i="1"/>
  <c r="N237" i="1"/>
  <c r="N236" i="1"/>
  <c r="O236" i="1" s="1"/>
  <c r="N235" i="1"/>
  <c r="O235" i="1" s="1"/>
  <c r="N234" i="1"/>
  <c r="O234" i="1" s="1"/>
  <c r="O233" i="1"/>
  <c r="N233" i="1"/>
  <c r="O232" i="1"/>
  <c r="N232" i="1"/>
  <c r="O231" i="1"/>
  <c r="N231" i="1"/>
  <c r="N230" i="1"/>
  <c r="O230" i="1" s="1"/>
  <c r="N229" i="1"/>
  <c r="O229" i="1" s="1"/>
  <c r="N228" i="1"/>
  <c r="O228" i="1" s="1"/>
  <c r="N227" i="1"/>
  <c r="O227" i="1" s="1"/>
  <c r="O226" i="1"/>
  <c r="N226" i="1"/>
  <c r="O225" i="1"/>
  <c r="N225" i="1"/>
  <c r="N224" i="1"/>
  <c r="O224" i="1" s="1"/>
  <c r="N223" i="1"/>
  <c r="O223" i="1" s="1"/>
  <c r="N222" i="1"/>
  <c r="O222" i="1" s="1"/>
  <c r="N221" i="1"/>
  <c r="O221" i="1" s="1"/>
  <c r="O220" i="1"/>
  <c r="N220" i="1"/>
  <c r="O219" i="1"/>
  <c r="N219" i="1"/>
  <c r="N218" i="1"/>
  <c r="O218" i="1" s="1"/>
  <c r="N217" i="1"/>
  <c r="O217" i="1" s="1"/>
  <c r="N216" i="1"/>
  <c r="O216" i="1" s="1"/>
  <c r="N215" i="1"/>
  <c r="O215" i="1" s="1"/>
  <c r="O214" i="1"/>
  <c r="N214" i="1"/>
  <c r="O213" i="1"/>
  <c r="N213" i="1"/>
  <c r="N212" i="1"/>
  <c r="O212" i="1" s="1"/>
  <c r="N211" i="1"/>
  <c r="O211" i="1" s="1"/>
  <c r="N210" i="1"/>
  <c r="O210" i="1" s="1"/>
  <c r="N209" i="1"/>
  <c r="O209" i="1" s="1"/>
  <c r="O208" i="1"/>
  <c r="N208" i="1"/>
  <c r="O207" i="1"/>
  <c r="N207" i="1"/>
  <c r="N206" i="1"/>
  <c r="O206" i="1" s="1"/>
  <c r="N205" i="1"/>
  <c r="O205" i="1" s="1"/>
  <c r="N204" i="1"/>
  <c r="O204" i="1" s="1"/>
  <c r="N203" i="1"/>
  <c r="O203" i="1" s="1"/>
  <c r="O202" i="1"/>
  <c r="N202" i="1"/>
  <c r="O201" i="1"/>
  <c r="N201" i="1"/>
  <c r="N200" i="1"/>
  <c r="O200" i="1" s="1"/>
  <c r="O199" i="1"/>
  <c r="N199" i="1"/>
  <c r="N198" i="1"/>
  <c r="O198" i="1" s="1"/>
  <c r="N197" i="1"/>
  <c r="O197" i="1" s="1"/>
  <c r="O196" i="1"/>
  <c r="N196" i="1"/>
  <c r="O195" i="1"/>
  <c r="N195" i="1"/>
  <c r="N194" i="1"/>
  <c r="O194" i="1" s="1"/>
  <c r="O193" i="1"/>
  <c r="N193" i="1"/>
  <c r="N192" i="1"/>
  <c r="O192" i="1" s="1"/>
  <c r="N191" i="1"/>
  <c r="O191" i="1" s="1"/>
  <c r="O190" i="1"/>
  <c r="N190" i="1"/>
  <c r="O189" i="1"/>
  <c r="N189" i="1"/>
  <c r="N188" i="1"/>
  <c r="O188" i="1" s="1"/>
  <c r="O187" i="1"/>
  <c r="N187" i="1"/>
  <c r="O186" i="1"/>
  <c r="N186" i="1"/>
  <c r="N185" i="1"/>
  <c r="O185" i="1" s="1"/>
  <c r="O184" i="1"/>
  <c r="N184" i="1"/>
  <c r="O183" i="1"/>
  <c r="N183" i="1"/>
  <c r="N182" i="1"/>
  <c r="O182" i="1" s="1"/>
  <c r="N181" i="1"/>
  <c r="O181" i="1" s="1"/>
  <c r="O180" i="1"/>
  <c r="N180" i="1"/>
  <c r="N179" i="1"/>
  <c r="O179" i="1" s="1"/>
  <c r="O178" i="1"/>
  <c r="N178" i="1"/>
  <c r="O177" i="1"/>
  <c r="N177" i="1"/>
  <c r="N176" i="1"/>
  <c r="O176" i="1" s="1"/>
  <c r="N175" i="1"/>
  <c r="O175" i="1" s="1"/>
  <c r="O174" i="1"/>
  <c r="N174" i="1"/>
  <c r="O173" i="1"/>
  <c r="N173" i="1"/>
  <c r="O172" i="1"/>
  <c r="N172" i="1"/>
  <c r="O171" i="1"/>
  <c r="N171" i="1"/>
  <c r="N170" i="1"/>
  <c r="O170" i="1" s="1"/>
  <c r="N169" i="1"/>
  <c r="O169" i="1" s="1"/>
  <c r="N168" i="1"/>
  <c r="O168" i="1" s="1"/>
  <c r="O167" i="1"/>
  <c r="N167" i="1"/>
  <c r="O166" i="1"/>
  <c r="N166" i="1"/>
  <c r="O165" i="1"/>
  <c r="N165" i="1"/>
  <c r="N164" i="1"/>
  <c r="O164" i="1" s="1"/>
  <c r="N163" i="1"/>
  <c r="O163" i="1" s="1"/>
  <c r="N162" i="1"/>
  <c r="O162" i="1" s="1"/>
  <c r="O161" i="1"/>
  <c r="N161" i="1"/>
  <c r="O160" i="1"/>
  <c r="N160" i="1"/>
  <c r="O159" i="1"/>
  <c r="N159" i="1"/>
  <c r="N158" i="1"/>
  <c r="O158" i="1" s="1"/>
  <c r="N157" i="1"/>
  <c r="O157" i="1" s="1"/>
  <c r="N156" i="1"/>
  <c r="O156" i="1" s="1"/>
  <c r="N155" i="1"/>
  <c r="O155" i="1" s="1"/>
  <c r="O154" i="1"/>
  <c r="N154" i="1"/>
  <c r="O153" i="1"/>
  <c r="N153" i="1"/>
  <c r="N152" i="1"/>
  <c r="O152" i="1" s="1"/>
  <c r="N151" i="1"/>
  <c r="O151" i="1" s="1"/>
  <c r="N150" i="1"/>
  <c r="O150" i="1" s="1"/>
  <c r="N149" i="1"/>
  <c r="O149" i="1" s="1"/>
  <c r="O148" i="1"/>
  <c r="N148" i="1"/>
  <c r="O147" i="1"/>
  <c r="N147" i="1"/>
  <c r="N146" i="1"/>
  <c r="O146" i="1" s="1"/>
  <c r="N145" i="1"/>
  <c r="O145" i="1" s="1"/>
  <c r="N144" i="1"/>
  <c r="O144" i="1" s="1"/>
  <c r="N143" i="1"/>
  <c r="O143" i="1" s="1"/>
  <c r="O142" i="1"/>
  <c r="N142" i="1"/>
  <c r="O141" i="1"/>
  <c r="N141" i="1"/>
  <c r="N140" i="1"/>
  <c r="O140" i="1" s="1"/>
  <c r="N139" i="1"/>
  <c r="O139" i="1" s="1"/>
  <c r="N138" i="1"/>
  <c r="O138" i="1" s="1"/>
  <c r="N137" i="1"/>
  <c r="O137" i="1" s="1"/>
  <c r="O136" i="1"/>
  <c r="N136" i="1"/>
  <c r="O135" i="1"/>
  <c r="N135" i="1"/>
  <c r="N134" i="1"/>
  <c r="O134" i="1" s="1"/>
  <c r="N133" i="1"/>
  <c r="O133" i="1" s="1"/>
  <c r="N132" i="1"/>
  <c r="O132" i="1" s="1"/>
  <c r="N131" i="1"/>
  <c r="O131" i="1" s="1"/>
  <c r="O130" i="1"/>
  <c r="N130" i="1"/>
  <c r="O129" i="1"/>
  <c r="N129" i="1"/>
  <c r="N128" i="1"/>
  <c r="O128" i="1" s="1"/>
  <c r="O127" i="1"/>
  <c r="N127" i="1"/>
  <c r="N126" i="1"/>
  <c r="O126" i="1" s="1"/>
  <c r="N125" i="1"/>
  <c r="O125" i="1" s="1"/>
  <c r="O124" i="1"/>
  <c r="N124" i="1"/>
  <c r="O123" i="1"/>
  <c r="N123" i="1"/>
  <c r="N122" i="1"/>
  <c r="O122" i="1" s="1"/>
  <c r="O121" i="1"/>
  <c r="N121" i="1"/>
  <c r="N120" i="1"/>
  <c r="O120" i="1" s="1"/>
  <c r="N119" i="1"/>
  <c r="O119" i="1" s="1"/>
  <c r="O118" i="1"/>
  <c r="N118" i="1"/>
  <c r="O117" i="1"/>
  <c r="N117" i="1"/>
  <c r="N116" i="1"/>
  <c r="O116" i="1" s="1"/>
  <c r="O115" i="1"/>
  <c r="N115" i="1"/>
  <c r="O114" i="1"/>
  <c r="N114" i="1"/>
  <c r="N113" i="1"/>
  <c r="O113" i="1" s="1"/>
  <c r="O112" i="1"/>
  <c r="N112" i="1"/>
  <c r="O111" i="1"/>
  <c r="N111" i="1"/>
  <c r="N110" i="1"/>
  <c r="O110" i="1" s="1"/>
  <c r="N109" i="1"/>
  <c r="O109" i="1" s="1"/>
  <c r="O108" i="1"/>
  <c r="N108" i="1"/>
  <c r="N107" i="1"/>
  <c r="O107" i="1" s="1"/>
  <c r="O106" i="1"/>
  <c r="N106" i="1"/>
  <c r="O105" i="1"/>
  <c r="N105" i="1"/>
  <c r="N104" i="1"/>
  <c r="O104" i="1" s="1"/>
  <c r="N103" i="1"/>
  <c r="O103" i="1" s="1"/>
  <c r="O102" i="1"/>
  <c r="N102" i="1"/>
  <c r="O101" i="1"/>
  <c r="N101" i="1"/>
  <c r="O100" i="1"/>
  <c r="N100" i="1"/>
  <c r="O99" i="1"/>
  <c r="N99" i="1"/>
  <c r="N98" i="1"/>
  <c r="O98" i="1" s="1"/>
  <c r="N97" i="1"/>
  <c r="O97" i="1" s="1"/>
  <c r="N96" i="1"/>
  <c r="O96" i="1" s="1"/>
  <c r="O95" i="1"/>
  <c r="N95" i="1"/>
  <c r="O94" i="1"/>
  <c r="N94" i="1"/>
  <c r="O93" i="1"/>
  <c r="N93" i="1"/>
  <c r="N92" i="1"/>
  <c r="O92" i="1" s="1"/>
  <c r="N91" i="1"/>
  <c r="O91" i="1" s="1"/>
  <c r="N90" i="1"/>
  <c r="O90" i="1" s="1"/>
  <c r="O89" i="1"/>
  <c r="N89" i="1"/>
  <c r="O88" i="1"/>
  <c r="N88" i="1"/>
  <c r="O87" i="1"/>
  <c r="N87" i="1"/>
  <c r="N86" i="1"/>
  <c r="O86" i="1" s="1"/>
  <c r="N85" i="1"/>
  <c r="O85" i="1" s="1"/>
  <c r="N84" i="1"/>
  <c r="O84" i="1" s="1"/>
  <c r="N83" i="1"/>
  <c r="O83" i="1" s="1"/>
  <c r="O82" i="1"/>
  <c r="N82" i="1"/>
  <c r="O81" i="1"/>
  <c r="N81" i="1"/>
  <c r="N80" i="1"/>
  <c r="O80" i="1" s="1"/>
  <c r="N79" i="1"/>
  <c r="O79" i="1" s="1"/>
  <c r="N78" i="1"/>
  <c r="O78" i="1" s="1"/>
  <c r="N77" i="1"/>
  <c r="O77" i="1" s="1"/>
  <c r="O76" i="1"/>
  <c r="N76" i="1"/>
  <c r="O75" i="1"/>
  <c r="N75" i="1"/>
  <c r="N74" i="1"/>
  <c r="O74" i="1" s="1"/>
  <c r="N73" i="1"/>
  <c r="O73" i="1" s="1"/>
  <c r="N72" i="1"/>
  <c r="O72" i="1" s="1"/>
  <c r="N71" i="1"/>
  <c r="O71" i="1" s="1"/>
  <c r="O70" i="1"/>
  <c r="N70" i="1"/>
  <c r="O69" i="1"/>
  <c r="N69" i="1"/>
  <c r="N68" i="1"/>
  <c r="O68" i="1" s="1"/>
  <c r="N67" i="1"/>
  <c r="O67" i="1" s="1"/>
  <c r="N66" i="1"/>
  <c r="O66" i="1" s="1"/>
  <c r="N65" i="1"/>
  <c r="O65" i="1" s="1"/>
  <c r="O64" i="1"/>
  <c r="N64" i="1"/>
  <c r="O63" i="1"/>
  <c r="N63" i="1"/>
  <c r="N62" i="1"/>
  <c r="O62" i="1" s="1"/>
  <c r="N61" i="1"/>
  <c r="O61" i="1" s="1"/>
  <c r="N60" i="1"/>
  <c r="O60" i="1" s="1"/>
  <c r="N59" i="1"/>
  <c r="O59" i="1" s="1"/>
  <c r="O58" i="1"/>
  <c r="N58" i="1"/>
  <c r="O57" i="1"/>
  <c r="N57" i="1"/>
  <c r="N56" i="1"/>
  <c r="O56" i="1" s="1"/>
  <c r="N55" i="1"/>
  <c r="O55" i="1" s="1"/>
  <c r="N54" i="1"/>
  <c r="O54" i="1" s="1"/>
  <c r="N53" i="1"/>
  <c r="O53" i="1" s="1"/>
  <c r="O52" i="1"/>
  <c r="N52" i="1"/>
  <c r="O51" i="1"/>
  <c r="N51" i="1"/>
  <c r="N50" i="1"/>
  <c r="O50" i="1" s="1"/>
  <c r="N49" i="1"/>
  <c r="O49" i="1" s="1"/>
  <c r="N48" i="1"/>
  <c r="O48" i="1" s="1"/>
  <c r="N47" i="1"/>
  <c r="O47" i="1" s="1"/>
  <c r="O46" i="1"/>
  <c r="N46" i="1"/>
  <c r="O45" i="1"/>
  <c r="N45" i="1"/>
  <c r="N44" i="1"/>
  <c r="O44" i="1" s="1"/>
  <c r="N43" i="1"/>
  <c r="O43" i="1" s="1"/>
  <c r="N42" i="1"/>
  <c r="O42" i="1" s="1"/>
  <c r="N41" i="1"/>
  <c r="O41" i="1" s="1"/>
  <c r="O40" i="1"/>
  <c r="N40" i="1"/>
  <c r="O39" i="1"/>
  <c r="N39" i="1"/>
  <c r="N38" i="1"/>
  <c r="O38" i="1" s="1"/>
  <c r="N37" i="1"/>
  <c r="O37" i="1" s="1"/>
  <c r="N36" i="1"/>
  <c r="O36" i="1" s="1"/>
  <c r="N35" i="1"/>
  <c r="O35" i="1" s="1"/>
  <c r="O34" i="1"/>
  <c r="N34" i="1"/>
  <c r="O33" i="1"/>
  <c r="N33" i="1"/>
  <c r="N32" i="1"/>
  <c r="O32" i="1" s="1"/>
  <c r="N31" i="1"/>
  <c r="O31" i="1" s="1"/>
  <c r="N30" i="1"/>
  <c r="O30" i="1" s="1"/>
  <c r="N29" i="1"/>
  <c r="O29" i="1" s="1"/>
  <c r="O28" i="1"/>
  <c r="N28" i="1"/>
  <c r="O27" i="1"/>
  <c r="N27" i="1"/>
  <c r="N26" i="1"/>
  <c r="O26" i="1" s="1"/>
  <c r="N25" i="1"/>
  <c r="O25" i="1" s="1"/>
  <c r="N24" i="1"/>
  <c r="O24" i="1" s="1"/>
  <c r="N23" i="1"/>
  <c r="O23" i="1" s="1"/>
  <c r="O22" i="1"/>
  <c r="N22" i="1"/>
  <c r="O21" i="1"/>
  <c r="N21" i="1"/>
  <c r="N20" i="1"/>
  <c r="O20" i="1" s="1"/>
  <c r="N19" i="1"/>
  <c r="O19" i="1" s="1"/>
  <c r="N18" i="1"/>
  <c r="O18" i="1" s="1"/>
  <c r="N17" i="1"/>
  <c r="O17" i="1" s="1"/>
  <c r="O16" i="1"/>
  <c r="N16" i="1"/>
  <c r="O15" i="1"/>
  <c r="N15" i="1"/>
  <c r="N14" i="1"/>
  <c r="O14" i="1" s="1"/>
  <c r="N13" i="1"/>
  <c r="O13" i="1" s="1"/>
  <c r="N12" i="1"/>
  <c r="O12" i="1" s="1"/>
  <c r="N11" i="1"/>
  <c r="O11" i="1" s="1"/>
  <c r="O10" i="1"/>
  <c r="N10" i="1"/>
  <c r="O9" i="1"/>
  <c r="N9" i="1"/>
  <c r="N8" i="1"/>
  <c r="O8" i="1" s="1"/>
  <c r="N7" i="1"/>
  <c r="O7" i="1" s="1"/>
  <c r="N6" i="1"/>
  <c r="O6" i="1" s="1"/>
  <c r="N5" i="1"/>
  <c r="O5" i="1" s="1"/>
  <c r="O4" i="1"/>
  <c r="N4" i="1"/>
  <c r="O3" i="1"/>
  <c r="N3" i="1"/>
  <c r="N2" i="1"/>
  <c r="O2" i="1" s="1"/>
</calcChain>
</file>

<file path=xl/sharedStrings.xml><?xml version="1.0" encoding="utf-8"?>
<sst xmlns="http://schemas.openxmlformats.org/spreadsheetml/2006/main" count="5864" uniqueCount="673">
  <si>
    <t>Date</t>
  </si>
  <si>
    <t>Model</t>
  </si>
  <si>
    <t>CN Unit</t>
  </si>
  <si>
    <t>Description of Breakdown</t>
  </si>
  <si>
    <t>Hours</t>
  </si>
  <si>
    <t>Awal</t>
  </si>
  <si>
    <t>Akhir</t>
  </si>
  <si>
    <t>Type BD</t>
  </si>
  <si>
    <t>Shift</t>
  </si>
  <si>
    <t>HM</t>
  </si>
  <si>
    <t>Location</t>
  </si>
  <si>
    <t>PIC Breakdown</t>
  </si>
  <si>
    <t>PIC Ready</t>
  </si>
  <si>
    <t>Duration Real</t>
  </si>
  <si>
    <t>Status Severity</t>
  </si>
  <si>
    <t>D85E-SS-2</t>
  </si>
  <si>
    <t>DZ605</t>
  </si>
  <si>
    <t>BOLT SEKMENT KENDOR</t>
  </si>
  <si>
    <t>1.22</t>
  </si>
  <si>
    <t>USM</t>
  </si>
  <si>
    <t>Shift 2</t>
  </si>
  <si>
    <t>1555.8</t>
  </si>
  <si>
    <t>L NORTH</t>
  </si>
  <si>
    <t>WORKSHOP</t>
  </si>
  <si>
    <t>(blank)</t>
  </si>
  <si>
    <t>8.87</t>
  </si>
  <si>
    <t>Shift 1</t>
  </si>
  <si>
    <t>PARKIRAN BARU L NORTH</t>
  </si>
  <si>
    <t>DZ619</t>
  </si>
  <si>
    <t>MATI MENDADAK</t>
  </si>
  <si>
    <t>0.45</t>
  </si>
  <si>
    <t>FRONT UTARA LN</t>
  </si>
  <si>
    <t>DZ636</t>
  </si>
  <si>
    <t>GANTI RADIATOR</t>
  </si>
  <si>
    <t>12.00</t>
  </si>
  <si>
    <t>WS</t>
  </si>
  <si>
    <t>DZ642</t>
  </si>
  <si>
    <t>OIL T/M LOW</t>
  </si>
  <si>
    <t>1.00</t>
  </si>
  <si>
    <t>K OPT</t>
  </si>
  <si>
    <t>FRONT UTARA</t>
  </si>
  <si>
    <t>DZ652</t>
  </si>
  <si>
    <t>BOLT MONTING ENGINE PATAH</t>
  </si>
  <si>
    <t>IPD K UTARA</t>
  </si>
  <si>
    <t>DZ668</t>
  </si>
  <si>
    <t>ENGINE PROBLEM</t>
  </si>
  <si>
    <t>LKA</t>
  </si>
  <si>
    <t>PIT STOP SELATAN</t>
  </si>
  <si>
    <t>DZ683</t>
  </si>
  <si>
    <t>COOLANT LOW</t>
  </si>
  <si>
    <t>1.42</t>
  </si>
  <si>
    <t>PIT E</t>
  </si>
  <si>
    <t>DZ684</t>
  </si>
  <si>
    <t>CANT STAR</t>
  </si>
  <si>
    <t>1.30</t>
  </si>
  <si>
    <t>HOSE FUEL LEAK</t>
  </si>
  <si>
    <t>5.00</t>
  </si>
  <si>
    <t>DZ685</t>
  </si>
  <si>
    <t>ARM BLADE LENGKET DI BENCH</t>
  </si>
  <si>
    <t>0.52</t>
  </si>
  <si>
    <t>BIKIN JALAN BARU ATAS SIMPANG KATALUNYA</t>
  </si>
  <si>
    <t>ARM BLADE LEPAS</t>
  </si>
  <si>
    <t>GAS T/M TIDAK ADA</t>
  </si>
  <si>
    <t>1.72</t>
  </si>
  <si>
    <t>DZ687</t>
  </si>
  <si>
    <t>ENGINE MATI"</t>
  </si>
  <si>
    <t>3.28</t>
  </si>
  <si>
    <t>PIT SELATAN</t>
  </si>
  <si>
    <t>ENGINE MATI"+HM MATI</t>
  </si>
  <si>
    <t>2.57</t>
  </si>
  <si>
    <t>DISPOSAL SELATAN</t>
  </si>
  <si>
    <t>7.40</t>
  </si>
  <si>
    <t>1.55</t>
  </si>
  <si>
    <t>DISP SELATAN</t>
  </si>
  <si>
    <t>MATI SENDIRI</t>
  </si>
  <si>
    <t>0.87</t>
  </si>
  <si>
    <t>DZ705</t>
  </si>
  <si>
    <t>1.17</t>
  </si>
  <si>
    <t>9857.2</t>
  </si>
  <si>
    <t>DISP B3</t>
  </si>
  <si>
    <t>3.62</t>
  </si>
  <si>
    <t>COOLANT LOW+LAMPU KERJA MATI</t>
  </si>
  <si>
    <t>4.62</t>
  </si>
  <si>
    <t>B3 B</t>
  </si>
  <si>
    <t>PIT B3</t>
  </si>
  <si>
    <t>DZ706</t>
  </si>
  <si>
    <t>ENGINE NOISE</t>
  </si>
  <si>
    <t>DISPOSAL KALIMAYA</t>
  </si>
  <si>
    <t>DZ713</t>
  </si>
  <si>
    <t>OVERHEAT RADIATOR</t>
  </si>
  <si>
    <t>9.53</t>
  </si>
  <si>
    <t>RADIO TIDAK ADA</t>
  </si>
  <si>
    <t>0.47</t>
  </si>
  <si>
    <t>RADIO</t>
  </si>
  <si>
    <t>Komatsu-D155</t>
  </si>
  <si>
    <t>DZ717</t>
  </si>
  <si>
    <t>AC HOT</t>
  </si>
  <si>
    <t>3.70</t>
  </si>
  <si>
    <t>DISPOSAL IPDK</t>
  </si>
  <si>
    <t>DZ718</t>
  </si>
  <si>
    <t>RESEAL FINAL DRIVE</t>
  </si>
  <si>
    <t>DZ760</t>
  </si>
  <si>
    <t>UNDERCARRIAGE</t>
  </si>
  <si>
    <t>SEGMEN AUS</t>
  </si>
  <si>
    <t>FRAME BLADE LEPAS</t>
  </si>
  <si>
    <t>3.08</t>
  </si>
  <si>
    <t>13506.7</t>
  </si>
  <si>
    <t>E</t>
  </si>
  <si>
    <t>LAMPUY REDUP</t>
  </si>
  <si>
    <t>0.85</t>
  </si>
  <si>
    <t>DI IPDK</t>
  </si>
  <si>
    <t>2.03</t>
  </si>
  <si>
    <t>14341.0</t>
  </si>
  <si>
    <t>JALAN BARU ARAH KATALUNYA</t>
  </si>
  <si>
    <t>LOW POWER , ENGINE MATI MATI</t>
  </si>
  <si>
    <t>1.48</t>
  </si>
  <si>
    <t>TIDAK BISA MAJU &amp; MUNDUR</t>
  </si>
  <si>
    <t>0.98</t>
  </si>
  <si>
    <t>DZ758</t>
  </si>
  <si>
    <t>ENGINE SHUTDOWN</t>
  </si>
  <si>
    <t>1.67</t>
  </si>
  <si>
    <t>DEPAN PITSTOP LAMA SELATAN</t>
  </si>
  <si>
    <t>2.13</t>
  </si>
  <si>
    <t>1.27</t>
  </si>
  <si>
    <t>OIL HYD LOW</t>
  </si>
  <si>
    <t>0.63</t>
  </si>
  <si>
    <t>4158.8</t>
  </si>
  <si>
    <t>FRONT UTARA K OPT</t>
  </si>
  <si>
    <t>1.25</t>
  </si>
  <si>
    <t>12616.2</t>
  </si>
  <si>
    <t>FRONT L NORTH</t>
  </si>
  <si>
    <t>DZ664</t>
  </si>
  <si>
    <t>CAN START</t>
  </si>
  <si>
    <t>1.80</t>
  </si>
  <si>
    <t>FRONT B3</t>
  </si>
  <si>
    <t>AIR RADIATOR LEAK</t>
  </si>
  <si>
    <t>4.17</t>
  </si>
  <si>
    <t>2.87</t>
  </si>
  <si>
    <t>13517.1</t>
  </si>
  <si>
    <t>OIL T/M KERING</t>
  </si>
  <si>
    <t>0.92</t>
  </si>
  <si>
    <t>OIL TM UNDER LOW</t>
  </si>
  <si>
    <t>4.38</t>
  </si>
  <si>
    <t>DISP IPD K UTARA</t>
  </si>
  <si>
    <t>1.03</t>
  </si>
  <si>
    <t>B3</t>
  </si>
  <si>
    <t>1.53</t>
  </si>
  <si>
    <t>2.68</t>
  </si>
  <si>
    <t>REAR HANDLE LEPAS</t>
  </si>
  <si>
    <t>5.35</t>
  </si>
  <si>
    <t>SIMPANG CATALUNYA</t>
  </si>
  <si>
    <t>AC HOT &amp; CENTER BLADE PROBLEM</t>
  </si>
  <si>
    <t>2.50</t>
  </si>
  <si>
    <t>7506.2</t>
  </si>
  <si>
    <t>7.28</t>
  </si>
  <si>
    <t>OIL TM &amp; COOLANT UNDER LOW</t>
  </si>
  <si>
    <t>4.43</t>
  </si>
  <si>
    <t>PTT PROBLEM'</t>
  </si>
  <si>
    <t>0.67</t>
  </si>
  <si>
    <t>SIMPANG 4G</t>
  </si>
  <si>
    <t>LAMPU KERJA MATI</t>
  </si>
  <si>
    <t>2.63</t>
  </si>
  <si>
    <t>IPDL UTARA</t>
  </si>
  <si>
    <t>LOW POWER</t>
  </si>
  <si>
    <t>0.28</t>
  </si>
  <si>
    <t>IPD L UTARA</t>
  </si>
  <si>
    <t>OIL HYD UNDER LOW &amp; OIL TM UNDER LOW</t>
  </si>
  <si>
    <t>0.95</t>
  </si>
  <si>
    <t>SELANG SREINER</t>
  </si>
  <si>
    <t>0.88</t>
  </si>
  <si>
    <t>OLI HYD LOW</t>
  </si>
  <si>
    <t>4181.2</t>
  </si>
  <si>
    <t>PTT RADIO PROBLEM</t>
  </si>
  <si>
    <t>0.13</t>
  </si>
  <si>
    <t>3.10</t>
  </si>
  <si>
    <t>3.05</t>
  </si>
  <si>
    <t>COOLANT LOW+OIL HYD LOW</t>
  </si>
  <si>
    <t>1.47</t>
  </si>
  <si>
    <t>12625.0</t>
  </si>
  <si>
    <t>PITSTOP SELATAN</t>
  </si>
  <si>
    <t>2.75</t>
  </si>
  <si>
    <t>1.33</t>
  </si>
  <si>
    <t>OLI T/M LOW, CANT START</t>
  </si>
  <si>
    <t>1.38</t>
  </si>
  <si>
    <t>ENGINE SHUTDOWN(MATI2)</t>
  </si>
  <si>
    <t>5.97</t>
  </si>
  <si>
    <t>0.50</t>
  </si>
  <si>
    <t>RADIATOR LEAK</t>
  </si>
  <si>
    <t>MENGARAH KE WS</t>
  </si>
  <si>
    <t>8.73</t>
  </si>
  <si>
    <t>TRACK KENDOR</t>
  </si>
  <si>
    <t>3.00</t>
  </si>
  <si>
    <t>7624.6</t>
  </si>
  <si>
    <t>VIEW POINT SELATAN</t>
  </si>
  <si>
    <t>V-BELT AC PUTUS</t>
  </si>
  <si>
    <t>1.07</t>
  </si>
  <si>
    <t>12348.0</t>
  </si>
  <si>
    <t>3.60</t>
  </si>
  <si>
    <t>AC HOT, RADIO MATI</t>
  </si>
  <si>
    <t>0.60</t>
  </si>
  <si>
    <t>OIL DAMPER LOW</t>
  </si>
  <si>
    <t>DISP K UTARA</t>
  </si>
  <si>
    <t>OIL ENGINE LOW+OIL T/M LOW</t>
  </si>
  <si>
    <t>11132.0</t>
  </si>
  <si>
    <t>DZ751</t>
  </si>
  <si>
    <t>4 ROLLER LEPAS+CUTING AUS+ANDBLADE AUS</t>
  </si>
  <si>
    <t>11.47</t>
  </si>
  <si>
    <t>6867.0</t>
  </si>
  <si>
    <t>HOSE TILL BLADE LEAK</t>
  </si>
  <si>
    <t>IDLER KELUAR DARI TRACK+LAMPU KERJA MATI SEMUA</t>
  </si>
  <si>
    <t>10.37</t>
  </si>
  <si>
    <t>LAMPU KERJA MATI, BOLT SEGMENT KENDOR</t>
  </si>
  <si>
    <t>2.32</t>
  </si>
  <si>
    <t>ROTARY MATI</t>
  </si>
  <si>
    <t>4.12</t>
  </si>
  <si>
    <t>GUARD ENGINE LEPAS</t>
  </si>
  <si>
    <t>4.75</t>
  </si>
  <si>
    <t>9.28</t>
  </si>
  <si>
    <t>HOSE HYD LEAK+PINTU MAU LEPAS</t>
  </si>
  <si>
    <t>4.88</t>
  </si>
  <si>
    <t>12639.8</t>
  </si>
  <si>
    <t>FRONT SELATAN DEKAT MT</t>
  </si>
  <si>
    <t>OLI TRANSMISI LOW, OLI HYD LOW</t>
  </si>
  <si>
    <t>4.07</t>
  </si>
  <si>
    <t>ADJUSTER BLADE LEPAS</t>
  </si>
  <si>
    <t>6.17</t>
  </si>
  <si>
    <t>LOW POWER+HM MATI</t>
  </si>
  <si>
    <t>0.80</t>
  </si>
  <si>
    <t>OLI TRANSMISI LOW</t>
  </si>
  <si>
    <t>1.63</t>
  </si>
  <si>
    <t>DZ686</t>
  </si>
  <si>
    <t>LAMPU KERJA BELAKANG MATI+TRACK RH KENDOR</t>
  </si>
  <si>
    <t>1.78</t>
  </si>
  <si>
    <t>TRACK KANAN KENDOR</t>
  </si>
  <si>
    <t>4.10</t>
  </si>
  <si>
    <t>FRONT BARA UTARA</t>
  </si>
  <si>
    <t>TRACK RH KENDOR</t>
  </si>
  <si>
    <t>4.52</t>
  </si>
  <si>
    <t>CANT RUNNING</t>
  </si>
  <si>
    <t>1.43</t>
  </si>
  <si>
    <t>3.32</t>
  </si>
  <si>
    <t>COOLANT LOW, TRACK KENDOR, REPLACE CUTTING DAN END BIT</t>
  </si>
  <si>
    <t>5.80</t>
  </si>
  <si>
    <t>9929.0</t>
  </si>
  <si>
    <t>SEAL ADJUSTER JEBOL</t>
  </si>
  <si>
    <t>1.08</t>
  </si>
  <si>
    <t>9937.4</t>
  </si>
  <si>
    <t>1.65</t>
  </si>
  <si>
    <t>TRACK  KENDOR</t>
  </si>
  <si>
    <t>0.70</t>
  </si>
  <si>
    <t>9936.2</t>
  </si>
  <si>
    <t>8.50</t>
  </si>
  <si>
    <t>HOSE TILL BLADE BOCOR</t>
  </si>
  <si>
    <t>12360.0</t>
  </si>
  <si>
    <t>OIL HYD UNDER LOW</t>
  </si>
  <si>
    <t>1.23</t>
  </si>
  <si>
    <t>DISP IPD L UTARA</t>
  </si>
  <si>
    <t>0.43</t>
  </si>
  <si>
    <t>1.92</t>
  </si>
  <si>
    <t>4.87</t>
  </si>
  <si>
    <t>BOLT SEGMENT KENDOR</t>
  </si>
  <si>
    <t>2.25</t>
  </si>
  <si>
    <t>BOLT SEGMENT KENDOR SEMUA</t>
  </si>
  <si>
    <t>1.12</t>
  </si>
  <si>
    <t>CANT STAR+COOLANT LOW</t>
  </si>
  <si>
    <t>5.33</t>
  </si>
  <si>
    <t>KATALUNYA</t>
  </si>
  <si>
    <t>CANT START, RADIO PROBLEM</t>
  </si>
  <si>
    <t>0.40</t>
  </si>
  <si>
    <t>0.22</t>
  </si>
  <si>
    <t>12657.6</t>
  </si>
  <si>
    <t>OIL TM UNDER LOW &amp; ENGSEL PINTU LEPAS</t>
  </si>
  <si>
    <t>2.78</t>
  </si>
  <si>
    <t>126439.0</t>
  </si>
  <si>
    <t>0.82</t>
  </si>
  <si>
    <t>FRONT SELATAN</t>
  </si>
  <si>
    <t>OLI TRANSMISI LOW/OIL T/M LEAK</t>
  </si>
  <si>
    <t>2.83</t>
  </si>
  <si>
    <t>HOSE TM LEAK YANG KE RADIATOR</t>
  </si>
  <si>
    <t>5.90</t>
  </si>
  <si>
    <t>11521.5</t>
  </si>
  <si>
    <t>1.52</t>
  </si>
  <si>
    <t>1.02</t>
  </si>
  <si>
    <t>KEPALA ACCU RUSAK</t>
  </si>
  <si>
    <t>0.68</t>
  </si>
  <si>
    <t>14440.5</t>
  </si>
  <si>
    <t>FRONT PIT  L UTARA</t>
  </si>
  <si>
    <t>KEPALA BATTERY KENDOR</t>
  </si>
  <si>
    <t>0.65</t>
  </si>
  <si>
    <t>FRONT LN UTARA</t>
  </si>
  <si>
    <t>PIT L UTARA</t>
  </si>
  <si>
    <t>1.50</t>
  </si>
  <si>
    <t>14431.4</t>
  </si>
  <si>
    <t>FRONT UTARA LN PUNCAK</t>
  </si>
  <si>
    <t>TRACK KIRI KENDOR</t>
  </si>
  <si>
    <t>2.90</t>
  </si>
  <si>
    <t>RADIATOR OVERHEAT</t>
  </si>
  <si>
    <t>1.37</t>
  </si>
  <si>
    <t>IPDK UTARA</t>
  </si>
  <si>
    <t>3.25</t>
  </si>
  <si>
    <t>9959.6</t>
  </si>
  <si>
    <t>COOLANT UNDER LOW</t>
  </si>
  <si>
    <t>1.40</t>
  </si>
  <si>
    <t>9948.8</t>
  </si>
  <si>
    <t>12376.0</t>
  </si>
  <si>
    <t>0.62</t>
  </si>
  <si>
    <t>OVERHEAT RADIATOR &amp; OIL TM UNDER LOW</t>
  </si>
  <si>
    <t>2.00</t>
  </si>
  <si>
    <t>1.45</t>
  </si>
  <si>
    <t>HOSE STILL BLADE KIRI LEAK</t>
  </si>
  <si>
    <t>BOLT SEGMENT 2 PCS HILANG &amp; ALL BOLT SEGMENT KENDOR</t>
  </si>
  <si>
    <t>OIL HYD LEAK</t>
  </si>
  <si>
    <t>14229.9</t>
  </si>
  <si>
    <t>CANT START</t>
  </si>
  <si>
    <t>LAMPU KERJA MATI + CANT START</t>
  </si>
  <si>
    <t>2.88</t>
  </si>
  <si>
    <t>HOSE TM LEAK, OIL T/M KERING</t>
  </si>
  <si>
    <t>5.58</t>
  </si>
  <si>
    <t>3.67</t>
  </si>
  <si>
    <t>RADIO MATI</t>
  </si>
  <si>
    <t>ROLLER KANAN PECAH 5 ROLLER KIRI PECAH 4</t>
  </si>
  <si>
    <t>9.93</t>
  </si>
  <si>
    <t>FRONT L NORT EX748</t>
  </si>
  <si>
    <t>V BELT ALTERNATOR KENDOR</t>
  </si>
  <si>
    <t>0.38</t>
  </si>
  <si>
    <t>0.15</t>
  </si>
  <si>
    <t>SEAL ADJUSTER LEAK</t>
  </si>
  <si>
    <t>4.00</t>
  </si>
  <si>
    <t>FRONT L UTARA</t>
  </si>
  <si>
    <t>1.68</t>
  </si>
  <si>
    <t>14852.2</t>
  </si>
  <si>
    <t>9.32</t>
  </si>
  <si>
    <t>ROLLER PECAH, BOLT SEGMENT KENDOR</t>
  </si>
  <si>
    <t>8.80</t>
  </si>
  <si>
    <t>COOLANT UNDER LOW &amp; TUTUP FUEL HILANG</t>
  </si>
  <si>
    <t>1.93</t>
  </si>
  <si>
    <t>9970.1</t>
  </si>
  <si>
    <t>LAMPU KERJA MATI SEMUA</t>
  </si>
  <si>
    <t>FRONT PIT B3</t>
  </si>
  <si>
    <t>0.73</t>
  </si>
  <si>
    <t>PITSTOP LAMA (DISPOSAL LEMAN)</t>
  </si>
  <si>
    <t>RADIOATOR LEAK</t>
  </si>
  <si>
    <t>11.13</t>
  </si>
  <si>
    <t>9.72</t>
  </si>
  <si>
    <t>7683.6</t>
  </si>
  <si>
    <t>LOSAIL REKLAMASI S6</t>
  </si>
  <si>
    <t>OVERHEAT RADIATOR &amp; TM</t>
  </si>
  <si>
    <t>4.30</t>
  </si>
  <si>
    <t>12402.0</t>
  </si>
  <si>
    <t>OVERHEAT TM &amp; COOLANT</t>
  </si>
  <si>
    <t>1245.0</t>
  </si>
  <si>
    <t>HOSE STILL ADA REMBESAN</t>
  </si>
  <si>
    <t>DISP UTARA</t>
  </si>
  <si>
    <t>BOLT SEGMENT KENDOR ALL</t>
  </si>
  <si>
    <t>2.37</t>
  </si>
  <si>
    <t>1524.2</t>
  </si>
  <si>
    <t>PARKIRAN CATALUNYA</t>
  </si>
  <si>
    <t>SERVICE , BOLT SEGMENT KENDOR ALL &amp; ROLLLER MAU LEPAS</t>
  </si>
  <si>
    <t>SCM</t>
  </si>
  <si>
    <t>9.18</t>
  </si>
  <si>
    <t>ERROR TM</t>
  </si>
  <si>
    <t>T/M TIDAK MAU PINDAH</t>
  </si>
  <si>
    <t>DIPL SELATAN</t>
  </si>
  <si>
    <t>14474.5</t>
  </si>
  <si>
    <t>LOCK ARM RH LEPAS</t>
  </si>
  <si>
    <t>2.28</t>
  </si>
  <si>
    <t>FRONT K OPT</t>
  </si>
  <si>
    <t>10.70</t>
  </si>
  <si>
    <t>2.27</t>
  </si>
  <si>
    <t>1.18</t>
  </si>
  <si>
    <t>9993.3</t>
  </si>
  <si>
    <t>4.50</t>
  </si>
  <si>
    <t>1.58</t>
  </si>
  <si>
    <t>7703.0</t>
  </si>
  <si>
    <t>PARKIRAN LOSAIL</t>
  </si>
  <si>
    <t>LAMPU KERJA MATI TOTAL</t>
  </si>
  <si>
    <t>1.35</t>
  </si>
  <si>
    <t>7701.6</t>
  </si>
  <si>
    <t>9.58</t>
  </si>
  <si>
    <t>DISP IPDK UTARA</t>
  </si>
  <si>
    <t>11197.0</t>
  </si>
  <si>
    <t>OVERHEAT RADIATOR DAN TRANSMISI</t>
  </si>
  <si>
    <t>2.92</t>
  </si>
  <si>
    <t>10.62</t>
  </si>
  <si>
    <t/>
  </si>
  <si>
    <t>TRANSMISI ERROR</t>
  </si>
  <si>
    <t>12705.3</t>
  </si>
  <si>
    <t>11584.0</t>
  </si>
  <si>
    <t>SEGMENT LEPAS</t>
  </si>
  <si>
    <t>7.35</t>
  </si>
  <si>
    <t>BOLT SEGMENT KENDOR+HM MATI</t>
  </si>
  <si>
    <t>JALAN BARU LEMAN</t>
  </si>
  <si>
    <t>LAMPU KERJA REDUP</t>
  </si>
  <si>
    <t>5.12</t>
  </si>
  <si>
    <t>4460.0</t>
  </si>
  <si>
    <t>PIN BLADE ARM PATAH</t>
  </si>
  <si>
    <t>3.33</t>
  </si>
  <si>
    <t>OVER HEAT TM &amp; COOLANT</t>
  </si>
  <si>
    <t>1.82</t>
  </si>
  <si>
    <t>ROLLER NYA NYANGKUT + AC HOT</t>
  </si>
  <si>
    <t>4.98</t>
  </si>
  <si>
    <t>OVERHEAT COOLANT &amp; OVERHEAT HYD</t>
  </si>
  <si>
    <t>0.93</t>
  </si>
  <si>
    <t>OVERHEAT RADIATOR DAN TRANSMISI + KEBOCORAN HOSE STILL</t>
  </si>
  <si>
    <t>6.90</t>
  </si>
  <si>
    <t>LOW POWER, PTT RADIO PROBLEM</t>
  </si>
  <si>
    <t>1.95</t>
  </si>
  <si>
    <t>TRANSMISI LEAK</t>
  </si>
  <si>
    <t>PIN BLADE LEPAS</t>
  </si>
  <si>
    <t>1.05</t>
  </si>
  <si>
    <t>4284.9</t>
  </si>
  <si>
    <t>SEGMENT LEPAS+BOLT SEGMENT BANYAK YANG KENDOR</t>
  </si>
  <si>
    <t>3.52</t>
  </si>
  <si>
    <t>ROLLER KANAN KIRI BROKEN</t>
  </si>
  <si>
    <t>HM MATI</t>
  </si>
  <si>
    <t>4.20</t>
  </si>
  <si>
    <t>COOLANT LOW, TRACK KIRI KENDOR, LAMPU KERJA MATI SEMUA</t>
  </si>
  <si>
    <t>1.20</t>
  </si>
  <si>
    <t>10047.0</t>
  </si>
  <si>
    <t>PIN ARM BLADE LEPAS</t>
  </si>
  <si>
    <t>1.90</t>
  </si>
  <si>
    <t>10042.3</t>
  </si>
  <si>
    <t>LAMPU KERJA DEPAN MATI, LAMPU KERJA BELAKANG MATI, WIPPER MATI</t>
  </si>
  <si>
    <t>7745.0</t>
  </si>
  <si>
    <t>KALIMAYA</t>
  </si>
  <si>
    <t>ROLLER NYA NYANGKUT + AC HOT + PTT RUSAK</t>
  </si>
  <si>
    <t>PTT RADIO RUSAK</t>
  </si>
  <si>
    <t>ARAH K OPT</t>
  </si>
  <si>
    <t>GASKET HEAD LEAKING</t>
  </si>
  <si>
    <t>RADIATOR NYEMBUR</t>
  </si>
  <si>
    <t>0.30</t>
  </si>
  <si>
    <t>12728.6</t>
  </si>
  <si>
    <t>WELDING PINTU CABIN</t>
  </si>
  <si>
    <t>2.58</t>
  </si>
  <si>
    <t>PIT LKA</t>
  </si>
  <si>
    <t>DAMPER ENGINE BROKEN</t>
  </si>
  <si>
    <t>OLI ENGINE LOW</t>
  </si>
  <si>
    <t>2.70</t>
  </si>
  <si>
    <t>LAMPU KERJA MATI SEMUA, PTT RADIO PROBLEM</t>
  </si>
  <si>
    <t>JALAN LEMAN UTARA</t>
  </si>
  <si>
    <t>DISP LEMAN</t>
  </si>
  <si>
    <t>1.77</t>
  </si>
  <si>
    <t>TRACK PROBLEM</t>
  </si>
  <si>
    <t>TRACK KENDOR LAGI</t>
  </si>
  <si>
    <t>1.62</t>
  </si>
  <si>
    <t>12487.0</t>
  </si>
  <si>
    <t>OIL COOLER LEAK, SERVICE</t>
  </si>
  <si>
    <t>OVERHEAT T/M+OVERHEAT RADIATOR / SERVICE</t>
  </si>
  <si>
    <t>6.70</t>
  </si>
  <si>
    <t>ROLLER KIRI LEPAS</t>
  </si>
  <si>
    <t>0.57</t>
  </si>
  <si>
    <t>DISP IPDK</t>
  </si>
  <si>
    <t>OIL ENGINE LOW</t>
  </si>
  <si>
    <t>GAS NYA TIDAK BISA NARIK</t>
  </si>
  <si>
    <t>PIN ARM BLADE LEPAS , PTT TIDAK ADA &amp; HM MATI</t>
  </si>
  <si>
    <t>6.58</t>
  </si>
  <si>
    <t>1.32</t>
  </si>
  <si>
    <t>LOW POWER &amp; HM MATI</t>
  </si>
  <si>
    <t>OIL HYD KERING</t>
  </si>
  <si>
    <t>1.28</t>
  </si>
  <si>
    <t>OIL HYDROLIC LOW</t>
  </si>
  <si>
    <t>0.32</t>
  </si>
  <si>
    <t>DUMPINGA KALIMAYA</t>
  </si>
  <si>
    <t>BOLT KABIN TIDAK ADA</t>
  </si>
  <si>
    <t>OVERHEAT T/M</t>
  </si>
  <si>
    <t>DISPOSAL TOPSOIL</t>
  </si>
  <si>
    <t>OVERHEAT T/M + OVERHEAT RADIATOR LAGI</t>
  </si>
  <si>
    <t>1.60</t>
  </si>
  <si>
    <t>3.87</t>
  </si>
  <si>
    <t>5.45</t>
  </si>
  <si>
    <t>continue Retuqe bolt master link</t>
  </si>
  <si>
    <t>5.10</t>
  </si>
  <si>
    <t>TRACK RH-LH KENDOR</t>
  </si>
  <si>
    <t>1.75</t>
  </si>
  <si>
    <t>TRACK RH-LH KENDOR LAGI + SERVICE PS 1</t>
  </si>
  <si>
    <t>9.30</t>
  </si>
  <si>
    <t>INSTALL GUARD ENGINE, FINAL CHECK ALL LEVEL OIL</t>
  </si>
  <si>
    <t>11.03</t>
  </si>
  <si>
    <t>TRANSMISI PROBLEM (TIDAK BISA MAJU MUNDUR)</t>
  </si>
  <si>
    <t>0.72</t>
  </si>
  <si>
    <t>TRACK LH KENDOR</t>
  </si>
  <si>
    <t>1.13</t>
  </si>
  <si>
    <t>KACA PINTU KIRI MAU LEPAS</t>
  </si>
  <si>
    <t>2.97</t>
  </si>
  <si>
    <t>OIL TM LEAK</t>
  </si>
  <si>
    <t>TRACK KENDOR (PARKIR)</t>
  </si>
  <si>
    <t>1.73</t>
  </si>
  <si>
    <t>TRACK KIRI KENDOR LAGI</t>
  </si>
  <si>
    <t>3.07</t>
  </si>
  <si>
    <t>COOLANT LOW+KELUAR ASAP TEBAL</t>
  </si>
  <si>
    <t>3.37</t>
  </si>
  <si>
    <t>2.30</t>
  </si>
  <si>
    <t>FRONT K OPT DEKAT 698</t>
  </si>
  <si>
    <t>LOW POWER, ENGINE MATI MATI</t>
  </si>
  <si>
    <t>DISPOSAL SOIL KALIMAYA</t>
  </si>
  <si>
    <t>HOSE TILL LEAK</t>
  </si>
  <si>
    <t>3.88</t>
  </si>
  <si>
    <t>0.78</t>
  </si>
  <si>
    <t>OVERHEAT</t>
  </si>
  <si>
    <t>2.12</t>
  </si>
  <si>
    <t>OVERHEAT &amp; V-BLET AC PUTUS</t>
  </si>
  <si>
    <t>4.15</t>
  </si>
  <si>
    <t>OVERHEAT RADIATOR + T/M</t>
  </si>
  <si>
    <t>1.85</t>
  </si>
  <si>
    <t>10.85</t>
  </si>
  <si>
    <t>OVERHEAT RADIATOR, DAN TRANSMISI</t>
  </si>
  <si>
    <t>HOSE TIL BLADE REMBES</t>
  </si>
  <si>
    <t>OIL T/M KERING LAGI</t>
  </si>
  <si>
    <t>OIL T/M LEAK</t>
  </si>
  <si>
    <t>6.52</t>
  </si>
  <si>
    <t>PS 1</t>
  </si>
  <si>
    <t>ARM BLADE MAU LEPAS</t>
  </si>
  <si>
    <t>2.98</t>
  </si>
  <si>
    <t>FRONT LKA</t>
  </si>
  <si>
    <t>3.50</t>
  </si>
  <si>
    <t>PITSTOP LOSAIL</t>
  </si>
  <si>
    <t>PARKIRAN PIT E</t>
  </si>
  <si>
    <t>OIL T/M DAN OIL HYD LOW</t>
  </si>
  <si>
    <t>2.48</t>
  </si>
  <si>
    <t>DI FRONT DEKAT 748</t>
  </si>
  <si>
    <t>OVERHEAT T/M + RADIATOR</t>
  </si>
  <si>
    <t>OIL DAMPER KERING</t>
  </si>
  <si>
    <t>0.37</t>
  </si>
  <si>
    <t>11290.0</t>
  </si>
  <si>
    <t>11287.0</t>
  </si>
  <si>
    <t>3.12</t>
  </si>
  <si>
    <t>OIL T/M &amp; OIL ENGINE REMBES</t>
  </si>
  <si>
    <t>SIMPANG KATALUNYA</t>
  </si>
  <si>
    <t>0.55</t>
  </si>
  <si>
    <t>2.45</t>
  </si>
  <si>
    <t>10.75</t>
  </si>
  <si>
    <t>LOCK PIN ARM BLADE LEPAS</t>
  </si>
  <si>
    <t>2.15</t>
  </si>
  <si>
    <t>BOLT KANOPI LEPAS</t>
  </si>
  <si>
    <t>HM ERROR</t>
  </si>
  <si>
    <t>8.72</t>
  </si>
  <si>
    <t>OVERHEAT RADIATOR, OVERHEAT TRANSMISI</t>
  </si>
  <si>
    <t>7840.6</t>
  </si>
  <si>
    <t>DISPOSAL SOIL UTARA</t>
  </si>
  <si>
    <t>BUSING MASTERLING MAU LEPAS</t>
  </si>
  <si>
    <t>2.18</t>
  </si>
  <si>
    <t>2.42</t>
  </si>
  <si>
    <t>4.53</t>
  </si>
  <si>
    <t>1.97</t>
  </si>
  <si>
    <t>PEMASANGAN BRAKET</t>
  </si>
  <si>
    <t>3.65</t>
  </si>
  <si>
    <t>COOLANT LEVEL LOW</t>
  </si>
  <si>
    <t>BLADE TIDAK MAU NAIK</t>
  </si>
  <si>
    <t>10161.8</t>
  </si>
  <si>
    <t>PITSTOP KALIMAYA</t>
  </si>
  <si>
    <t>SIMPANG LOSAIL</t>
  </si>
  <si>
    <t>PARKIRAN KALIMAYA</t>
  </si>
  <si>
    <t>OIL HYD LEAK, BLADE TIDAK MAU NAIK &amp; BOLT CABIN HILAN</t>
  </si>
  <si>
    <t>2.67</t>
  </si>
  <si>
    <t>9.77</t>
  </si>
  <si>
    <t>RADIO TIDAK ADA &amp; OIL HYD UNDER LOW</t>
  </si>
  <si>
    <t>8.17</t>
  </si>
  <si>
    <t>SIMPANGA LOSAIL</t>
  </si>
  <si>
    <t>OIL T/M + HYD + COOLANT LOW</t>
  </si>
  <si>
    <t>2.55</t>
  </si>
  <si>
    <t>OIL TM UNDER LOW &amp; RADIO PROBLEM</t>
  </si>
  <si>
    <t>LAMPU KERJA MATI SEMUA (PARKIR)</t>
  </si>
  <si>
    <t>0.83</t>
  </si>
  <si>
    <t>FRONT UTARA DEKAT EX700</t>
  </si>
  <si>
    <t>SIMPANG PIT K OPT</t>
  </si>
  <si>
    <t>4.35</t>
  </si>
  <si>
    <t>13787.1</t>
  </si>
  <si>
    <t>OIL TM LOW</t>
  </si>
  <si>
    <t>101808.0</t>
  </si>
  <si>
    <t>BLADE LAMBAT NAIK</t>
  </si>
  <si>
    <t>90391.4</t>
  </si>
  <si>
    <t>LOSAIL</t>
  </si>
  <si>
    <t>DUMPINGAN SOIL KALIMAYA</t>
  </si>
  <si>
    <t>RADIO TIDAK ADA, OIL HYD UNDER LOW, LOW POWER, KEBOCORAN RADIATOR</t>
  </si>
  <si>
    <t>SIMPANGAN LOSAIL</t>
  </si>
  <si>
    <t>PARKIRAN BARU IPD L UTARA</t>
  </si>
  <si>
    <t>LOW POWER &amp; RADIO PROBLEM</t>
  </si>
  <si>
    <t>0.03</t>
  </si>
  <si>
    <t>7885.9</t>
  </si>
  <si>
    <t>3.80</t>
  </si>
  <si>
    <t>COOLANT UNDER LOW &amp; RADIO PROBLEM</t>
  </si>
  <si>
    <t>KACA KABIN DEPAN MAU LEPAS</t>
  </si>
  <si>
    <t>3.17</t>
  </si>
  <si>
    <t>OLI T/M DIBAWAH LOW</t>
  </si>
  <si>
    <t>SIMPANG CDI</t>
  </si>
  <si>
    <t>COLANT DIBAWAH LOW</t>
  </si>
  <si>
    <t>13808.6</t>
  </si>
  <si>
    <t>COOLANT KERING</t>
  </si>
  <si>
    <t>HOSE RADIATOR MAU LEPAS</t>
  </si>
  <si>
    <t>SOIL KALIMAYA</t>
  </si>
  <si>
    <t>OLI HYDROLIK, OLI T/M DIBAWAH LOW DAN RADIO TIDAK ADA</t>
  </si>
  <si>
    <t>2.17</t>
  </si>
  <si>
    <t>KNOPI DEPAN LEPAS+BLADE MIRING KIRI+LAMPU BELAKANG REDUP</t>
  </si>
  <si>
    <t>8.57</t>
  </si>
  <si>
    <t>OTW SIMPANG KATALUNYA</t>
  </si>
  <si>
    <t>SERVICE</t>
  </si>
  <si>
    <t>OLI DAMPER LOW</t>
  </si>
  <si>
    <t>6.30</t>
  </si>
  <si>
    <t>ENBIT MAU LEPAS</t>
  </si>
  <si>
    <t>3.35</t>
  </si>
  <si>
    <t>6.50</t>
  </si>
  <si>
    <t>2.93</t>
  </si>
  <si>
    <t>BLADE MIRING KIRI</t>
  </si>
  <si>
    <t>2.33</t>
  </si>
  <si>
    <t>CATALUNYA</t>
  </si>
  <si>
    <t>OIL T/M LOW+LAMPU ATAS KABIN MATI 2pcs+</t>
  </si>
  <si>
    <t>OIL DUMPER UNDER LOW</t>
  </si>
  <si>
    <t>113391.0</t>
  </si>
  <si>
    <t>5.40</t>
  </si>
  <si>
    <t>7058.0</t>
  </si>
  <si>
    <t>PARKIRAN IPD  K UTARA</t>
  </si>
  <si>
    <t>SAFETY ROLLER LEPAS</t>
  </si>
  <si>
    <t>0.33</t>
  </si>
  <si>
    <t>GANTI SEAL ADJUSTER</t>
  </si>
  <si>
    <t>3.57</t>
  </si>
  <si>
    <t>TRACK KANAN KENDOR LAGI</t>
  </si>
  <si>
    <t>OLI HYDROLIK BOCOR DAN COOLANT LOW</t>
  </si>
  <si>
    <t>4.67</t>
  </si>
  <si>
    <t>LOW POWER DAN OVERHEAT RADIATOR</t>
  </si>
  <si>
    <t>BOLT SEGMEN KENDOR SEMUA</t>
  </si>
  <si>
    <t>15306.1</t>
  </si>
  <si>
    <t>LOW POWER, ROLLER LEPAS</t>
  </si>
  <si>
    <t>8.20</t>
  </si>
  <si>
    <t>CANTSTART</t>
  </si>
  <si>
    <t>LOCK PIN BLADE HILANG 1 PCS</t>
  </si>
  <si>
    <t>0.17</t>
  </si>
  <si>
    <t>12904.0</t>
  </si>
  <si>
    <t>BLADE MIRING</t>
  </si>
  <si>
    <t>5.85</t>
  </si>
  <si>
    <t>11744.3</t>
  </si>
  <si>
    <t>4.78</t>
  </si>
  <si>
    <t>SEGMENT LH LEPAS &amp; BOLT SEGMENT LH 1 PCS LEPAS</t>
  </si>
  <si>
    <t>13873.1</t>
  </si>
  <si>
    <t>SERVICE DAN PERBAIKAN SAFETY ROLLER</t>
  </si>
  <si>
    <t>11.60</t>
  </si>
  <si>
    <t>127019.0</t>
  </si>
  <si>
    <t>DEPAN WORKSHOP</t>
  </si>
  <si>
    <t>ENGINE SHUTDOWN &amp; RADIO TIDAK ADA</t>
  </si>
  <si>
    <t>OVERHEAT RADIATOR  DAN HM ERROR</t>
  </si>
  <si>
    <t>0.10</t>
  </si>
  <si>
    <t>COOLANT LOW, CAP OLI HYD HILANG</t>
  </si>
  <si>
    <t>6.42</t>
  </si>
  <si>
    <t>10462.7</t>
  </si>
  <si>
    <t>0.53</t>
  </si>
  <si>
    <t>10456.0</t>
  </si>
  <si>
    <t>10445.0</t>
  </si>
  <si>
    <t>BRAKE LENGKET</t>
  </si>
  <si>
    <t>FRONT K OPT PUNCAK</t>
  </si>
  <si>
    <t>BRAKE MASIH LENGKET</t>
  </si>
  <si>
    <t>9.47</t>
  </si>
  <si>
    <t>11324.6</t>
  </si>
  <si>
    <t>TRACK RH KENDOR LAGI</t>
  </si>
  <si>
    <t>PERBAIKAN SEAL ADJUSTER DAN ROLLER KANAN LEPAS 1</t>
  </si>
  <si>
    <t>2.65</t>
  </si>
  <si>
    <t>12667.0</t>
  </si>
  <si>
    <t>TRACK PROBLEM (LONCAT-LONCAT)</t>
  </si>
  <si>
    <t>12672.0</t>
  </si>
  <si>
    <t>OVERHEAT RADIATOR+MINTA DIWASHING, APAR PRESSURE LOW</t>
  </si>
  <si>
    <t>2.52</t>
  </si>
  <si>
    <t>ARM BLADE KIRI BENGKOK</t>
  </si>
  <si>
    <t>6.20</t>
  </si>
  <si>
    <t>9.55</t>
  </si>
  <si>
    <t>13895.5</t>
  </si>
  <si>
    <t>TRACK KIRI KENDOR+TUTUP HYD HILANG</t>
  </si>
  <si>
    <t>4.80</t>
  </si>
  <si>
    <t>10467.6</t>
  </si>
  <si>
    <t>PARKIRAN REKLAMASI LOSAIL</t>
  </si>
  <si>
    <t>WELDING KANOPI</t>
  </si>
  <si>
    <t>4.08</t>
  </si>
  <si>
    <t>BOLT SEGMEN SISA 1pcs+COOLANT LOW</t>
  </si>
  <si>
    <t>2.53</t>
  </si>
  <si>
    <t>12676.0</t>
  </si>
  <si>
    <t>SIMPANG IPDK KATALUNYA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</si>
</sst>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21" fontId="1" fillId="0" borderId="0" xfId="0" applyNumberFormat="1" applyFon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[h]:mm"/>
    </dxf>
    <dxf>
      <numFmt numFmtId="26" formatCode="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83F52-83A9-42A9-816D-0375B3E7F04E}" name="Table1" displayName="Table1" ref="A1:O586" totalsRowShown="0">
  <autoFilter ref="A1:O586" xr:uid="{5BB9F07F-874E-4548-A753-F792D0CB64D8}"/>
  <tableColumns count="15">
    <tableColumn id="1" xr3:uid="{0FCBFF70-90C7-4544-9ECF-51A658AEBD62}" name="Date" dataDxfId="5"/>
    <tableColumn id="2" xr3:uid="{DA935A64-2177-4D80-A783-523E6CBA6DBA}" name="Model"/>
    <tableColumn id="3" xr3:uid="{1216C088-0E49-47A4-AF08-A1D49D8F93FC}" name="CN Unit"/>
    <tableColumn id="4" xr3:uid="{D308D027-02DE-4CAE-9158-CC71327956C5}" name="Description of Breakdown"/>
    <tableColumn id="5" xr3:uid="{F5D86D90-1D82-4C93-903A-AEA0150F5487}" name="Hours"/>
    <tableColumn id="6" xr3:uid="{CA55B1A7-2CC6-4B5F-B0DA-529975C71D94}" name="Awal" dataDxfId="4"/>
    <tableColumn id="7" xr3:uid="{B64DC843-9960-41A1-B8D6-2A0E651F40DF}" name="Akhir" dataDxfId="3"/>
    <tableColumn id="8" xr3:uid="{D4404E25-18E5-4ABC-9F1C-F75E196CF797}" name="Type BD" dataDxfId="2"/>
    <tableColumn id="9" xr3:uid="{37DD2A36-478C-463C-9AD8-1E0F06F7EB8C}" name="Shift"/>
    <tableColumn id="10" xr3:uid="{18293820-9C28-4890-9D4D-B74A2725A155}" name="HM"/>
    <tableColumn id="11" xr3:uid="{DBFEC71A-DF3C-4820-AAD0-3085A493F1F9}" name="Location"/>
    <tableColumn id="12" xr3:uid="{AF4A1A36-DF54-4A1E-A1C9-3BBBE4F91D8C}" name="PIC Breakdown"/>
    <tableColumn id="13" xr3:uid="{CFCA24B7-9309-41C5-ABFA-2819C057DA77}" name="PIC Ready"/>
    <tableColumn id="14" xr3:uid="{2E2D9D26-C8E3-4B86-A0A6-93C12A184CD2}" name="Duration Real" dataDxfId="1">
      <calculatedColumnFormula>IF(Table1[[#This Row],[Akhir]]&lt;Table1[[#This Row],[Awal]],(Table1[[#This Row],[Akhir]]+1)-Table1[[#This Row],[Awal]],Table1[[#This Row],[Akhir]]-Table1[[#This Row],[Awal]])*24</calculatedColumnFormula>
    </tableColumn>
    <tableColumn id="15" xr3:uid="{BAB65657-D001-41AC-A285-7230F989704F}" name="Status Severity" dataDxfId="0">
      <calculatedColumnFormula>IF(Table1[[#This Row],[Duration Real]]&gt;=6,"Major",
IF(Table1[[#This Row],[Duration Real]]&gt;=2,"Medium","Minor"))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201F-E3C3-44CD-9422-465E1EDA3230}">
  <dimension ref="A1:O586"/>
  <sheetViews>
    <sheetView tabSelected="1" topLeftCell="F1" workbookViewId="0">
      <selection sqref="A1:O5"/>
    </sheetView>
  </sheetViews>
  <sheetFormatPr defaultRowHeight="14.5" x14ac:dyDescent="0.35"/>
  <cols>
    <col min="1" max="3" width="17.453125" customWidth="1"/>
    <col min="4" max="4" width="30.90625" customWidth="1"/>
    <col min="5" max="7" width="17.453125" customWidth="1"/>
    <col min="8" max="8" width="15.54296875" customWidth="1"/>
    <col min="9" max="9" width="17.453125" customWidth="1"/>
    <col min="11" max="11" width="10" customWidth="1"/>
    <col min="12" max="12" width="15.36328125" customWidth="1"/>
    <col min="13" max="13" width="11.26953125" customWidth="1"/>
    <col min="14" max="14" width="17.36328125" customWidth="1"/>
    <col min="15" max="15" width="14.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46143</v>
      </c>
      <c r="B2" t="s">
        <v>15</v>
      </c>
      <c r="C2" t="s">
        <v>16</v>
      </c>
      <c r="D2" t="s">
        <v>17</v>
      </c>
      <c r="E2" t="s">
        <v>18</v>
      </c>
      <c r="F2" s="3">
        <v>0.75</v>
      </c>
      <c r="G2" s="4">
        <v>0.80069444444444449</v>
      </c>
      <c r="H2" s="5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f>IF(Table1[[#This Row],[Akhir]]&lt;Table1[[#This Row],[Awal]],(Table1[[#This Row],[Akhir]]+1)-Table1[[#This Row],[Awal]],Table1[[#This Row],[Akhir]]-Table1[[#This Row],[Awal]])*24</f>
        <v>1.2166666666666677</v>
      </c>
      <c r="O2" t="str">
        <f>IF(Table1[[#This Row],[Duration Real]]&gt;=6,"Major",
IF(Table1[[#This Row],[Duration Real]]&gt;=2,"Medium","Minor"))</f>
        <v>Minor</v>
      </c>
    </row>
    <row r="3" spans="1:15" x14ac:dyDescent="0.35">
      <c r="A3" s="2">
        <v>46143</v>
      </c>
      <c r="B3" t="s">
        <v>15</v>
      </c>
      <c r="C3" t="s">
        <v>16</v>
      </c>
      <c r="D3" t="s">
        <v>17</v>
      </c>
      <c r="E3" t="s">
        <v>25</v>
      </c>
      <c r="F3" s="3">
        <v>0.38055555555555554</v>
      </c>
      <c r="G3" s="4">
        <v>0.75</v>
      </c>
      <c r="H3" s="5" t="s">
        <v>19</v>
      </c>
      <c r="I3" t="s">
        <v>26</v>
      </c>
      <c r="J3" t="s">
        <v>21</v>
      </c>
      <c r="K3" t="s">
        <v>22</v>
      </c>
      <c r="L3" t="s">
        <v>27</v>
      </c>
      <c r="M3" t="s">
        <v>24</v>
      </c>
      <c r="N3">
        <f>IF(Table1[[#This Row],[Akhir]]&lt;Table1[[#This Row],[Awal]],(Table1[[#This Row],[Akhir]]+1)-Table1[[#This Row],[Awal]],Table1[[#This Row],[Akhir]]-Table1[[#This Row],[Awal]])*24</f>
        <v>8.8666666666666671</v>
      </c>
      <c r="O3" t="str">
        <f>IF(Table1[[#This Row],[Duration Real]]&gt;=6,"Major",
IF(Table1[[#This Row],[Duration Real]]&gt;=2,"Medium","Minor"))</f>
        <v>Major</v>
      </c>
    </row>
    <row r="4" spans="1:15" x14ac:dyDescent="0.35">
      <c r="A4" s="2">
        <v>46143</v>
      </c>
      <c r="B4" t="s">
        <v>15</v>
      </c>
      <c r="C4" t="s">
        <v>28</v>
      </c>
      <c r="D4" t="s">
        <v>29</v>
      </c>
      <c r="E4" t="s">
        <v>30</v>
      </c>
      <c r="F4" s="3">
        <v>0.62291666666666667</v>
      </c>
      <c r="G4" s="4">
        <v>0.64166666666666672</v>
      </c>
      <c r="H4" s="5" t="s">
        <v>19</v>
      </c>
      <c r="I4" t="s">
        <v>26</v>
      </c>
      <c r="J4" t="s">
        <v>24</v>
      </c>
      <c r="K4" t="s">
        <v>22</v>
      </c>
      <c r="L4" t="s">
        <v>31</v>
      </c>
      <c r="M4" t="s">
        <v>24</v>
      </c>
      <c r="N4">
        <f>IF(Table1[[#This Row],[Akhir]]&lt;Table1[[#This Row],[Awal]],(Table1[[#This Row],[Akhir]]+1)-Table1[[#This Row],[Awal]],Table1[[#This Row],[Akhir]]-Table1[[#This Row],[Awal]])*24</f>
        <v>0.45000000000000107</v>
      </c>
      <c r="O4" t="str">
        <f>IF(Table1[[#This Row],[Duration Real]]&gt;=6,"Major",
IF(Table1[[#This Row],[Duration Real]]&gt;=2,"Medium","Minor"))</f>
        <v>Minor</v>
      </c>
    </row>
    <row r="5" spans="1:15" x14ac:dyDescent="0.35">
      <c r="A5" s="2">
        <v>46143</v>
      </c>
      <c r="B5" t="s">
        <v>15</v>
      </c>
      <c r="C5" t="s">
        <v>32</v>
      </c>
      <c r="D5" t="s">
        <v>33</v>
      </c>
      <c r="E5" t="s">
        <v>34</v>
      </c>
      <c r="F5" s="3">
        <v>0.25</v>
      </c>
      <c r="G5" s="4">
        <v>0.75</v>
      </c>
      <c r="H5" s="5" t="s">
        <v>19</v>
      </c>
      <c r="I5" t="s">
        <v>26</v>
      </c>
      <c r="J5" t="s">
        <v>24</v>
      </c>
      <c r="K5" t="s">
        <v>22</v>
      </c>
      <c r="L5" t="s">
        <v>35</v>
      </c>
      <c r="M5" t="s">
        <v>24</v>
      </c>
      <c r="N5">
        <f>IF(Table1[[#This Row],[Akhir]]&lt;Table1[[#This Row],[Awal]],(Table1[[#This Row],[Akhir]]+1)-Table1[[#This Row],[Awal]],Table1[[#This Row],[Akhir]]-Table1[[#This Row],[Awal]])*24</f>
        <v>12</v>
      </c>
      <c r="O5" t="str">
        <f>IF(Table1[[#This Row],[Duration Real]]&gt;=6,"Major",
IF(Table1[[#This Row],[Duration Real]]&gt;=2,"Medium","Minor"))</f>
        <v>Major</v>
      </c>
    </row>
    <row r="6" spans="1:15" x14ac:dyDescent="0.35">
      <c r="A6" s="2">
        <v>46143</v>
      </c>
      <c r="B6" t="s">
        <v>15</v>
      </c>
      <c r="C6" t="s">
        <v>32</v>
      </c>
      <c r="D6" t="s">
        <v>33</v>
      </c>
      <c r="E6" t="s">
        <v>34</v>
      </c>
      <c r="F6" s="3">
        <v>0.75</v>
      </c>
      <c r="G6" s="4">
        <v>0.25</v>
      </c>
      <c r="H6" s="5" t="s">
        <v>19</v>
      </c>
      <c r="I6" t="s">
        <v>20</v>
      </c>
      <c r="J6" t="s">
        <v>24</v>
      </c>
      <c r="K6" t="s">
        <v>22</v>
      </c>
      <c r="L6" t="s">
        <v>35</v>
      </c>
      <c r="M6" t="s">
        <v>24</v>
      </c>
      <c r="N6">
        <f>IF(Table1[[#This Row],[Akhir]]&lt;Table1[[#This Row],[Awal]],(Table1[[#This Row],[Akhir]]+1)-Table1[[#This Row],[Awal]],Table1[[#This Row],[Akhir]]-Table1[[#This Row],[Awal]])*24</f>
        <v>12</v>
      </c>
      <c r="O6" t="str">
        <f>IF(Table1[[#This Row],[Duration Real]]&gt;=6,"Major",
IF(Table1[[#This Row],[Duration Real]]&gt;=2,"Medium","Minor"))</f>
        <v>Major</v>
      </c>
    </row>
    <row r="7" spans="1:15" x14ac:dyDescent="0.35">
      <c r="A7" s="2">
        <v>46143</v>
      </c>
      <c r="B7" t="s">
        <v>15</v>
      </c>
      <c r="C7" t="s">
        <v>36</v>
      </c>
      <c r="D7" t="s">
        <v>37</v>
      </c>
      <c r="E7" t="s">
        <v>38</v>
      </c>
      <c r="F7" s="3">
        <v>0.25</v>
      </c>
      <c r="G7" s="4">
        <v>0.29166666666666669</v>
      </c>
      <c r="H7" s="5" t="s">
        <v>19</v>
      </c>
      <c r="I7" t="s">
        <v>26</v>
      </c>
      <c r="J7" t="s">
        <v>24</v>
      </c>
      <c r="K7" t="s">
        <v>39</v>
      </c>
      <c r="L7" t="s">
        <v>40</v>
      </c>
      <c r="M7" t="s">
        <v>24</v>
      </c>
      <c r="N7">
        <f>IF(Table1[[#This Row],[Akhir]]&lt;Table1[[#This Row],[Awal]],(Table1[[#This Row],[Akhir]]+1)-Table1[[#This Row],[Awal]],Table1[[#This Row],[Akhir]]-Table1[[#This Row],[Awal]])*24</f>
        <v>1.0000000000000004</v>
      </c>
      <c r="O7" t="str">
        <f>IF(Table1[[#This Row],[Duration Real]]&gt;=6,"Major",
IF(Table1[[#This Row],[Duration Real]]&gt;=2,"Medium","Minor"))</f>
        <v>Minor</v>
      </c>
    </row>
    <row r="8" spans="1:15" x14ac:dyDescent="0.35">
      <c r="A8" s="2">
        <v>46143</v>
      </c>
      <c r="B8" t="s">
        <v>15</v>
      </c>
      <c r="C8" t="s">
        <v>41</v>
      </c>
      <c r="D8" t="s">
        <v>42</v>
      </c>
      <c r="E8" t="s">
        <v>34</v>
      </c>
      <c r="F8" s="3">
        <v>0.25</v>
      </c>
      <c r="G8" s="4">
        <v>0.75</v>
      </c>
      <c r="H8" s="5" t="s">
        <v>19</v>
      </c>
      <c r="I8" t="s">
        <v>26</v>
      </c>
      <c r="J8" t="s">
        <v>24</v>
      </c>
      <c r="K8" t="s">
        <v>39</v>
      </c>
      <c r="L8" t="s">
        <v>43</v>
      </c>
      <c r="M8" t="s">
        <v>24</v>
      </c>
      <c r="N8">
        <f>IF(Table1[[#This Row],[Akhir]]&lt;Table1[[#This Row],[Awal]],(Table1[[#This Row],[Akhir]]+1)-Table1[[#This Row],[Awal]],Table1[[#This Row],[Akhir]]-Table1[[#This Row],[Awal]])*24</f>
        <v>12</v>
      </c>
      <c r="O8" t="str">
        <f>IF(Table1[[#This Row],[Duration Real]]&gt;=6,"Major",
IF(Table1[[#This Row],[Duration Real]]&gt;=2,"Medium","Minor"))</f>
        <v>Major</v>
      </c>
    </row>
    <row r="9" spans="1:15" x14ac:dyDescent="0.35">
      <c r="A9" s="2">
        <v>46143</v>
      </c>
      <c r="B9" t="s">
        <v>15</v>
      </c>
      <c r="C9" t="s">
        <v>41</v>
      </c>
      <c r="D9" t="s">
        <v>42</v>
      </c>
      <c r="E9" t="s">
        <v>34</v>
      </c>
      <c r="F9" s="3">
        <v>0.75</v>
      </c>
      <c r="G9" s="4">
        <v>0.25</v>
      </c>
      <c r="H9" s="5" t="s">
        <v>19</v>
      </c>
      <c r="I9" t="s">
        <v>20</v>
      </c>
      <c r="J9" t="s">
        <v>24</v>
      </c>
      <c r="K9" t="s">
        <v>39</v>
      </c>
      <c r="L9" t="s">
        <v>43</v>
      </c>
      <c r="M9" t="s">
        <v>24</v>
      </c>
      <c r="N9">
        <f>IF(Table1[[#This Row],[Akhir]]&lt;Table1[[#This Row],[Awal]],(Table1[[#This Row],[Akhir]]+1)-Table1[[#This Row],[Awal]],Table1[[#This Row],[Akhir]]-Table1[[#This Row],[Awal]])*24</f>
        <v>12</v>
      </c>
      <c r="O9" t="str">
        <f>IF(Table1[[#This Row],[Duration Real]]&gt;=6,"Major",
IF(Table1[[#This Row],[Duration Real]]&gt;=2,"Medium","Minor"))</f>
        <v>Major</v>
      </c>
    </row>
    <row r="10" spans="1:15" x14ac:dyDescent="0.35">
      <c r="A10" s="2">
        <v>46143</v>
      </c>
      <c r="B10" t="s">
        <v>15</v>
      </c>
      <c r="C10" t="s">
        <v>44</v>
      </c>
      <c r="D10" t="s">
        <v>45</v>
      </c>
      <c r="E10" t="s">
        <v>34</v>
      </c>
      <c r="F10" s="3">
        <v>0.25</v>
      </c>
      <c r="G10" s="4">
        <v>0.75</v>
      </c>
      <c r="H10" s="5" t="s">
        <v>19</v>
      </c>
      <c r="I10" t="s">
        <v>26</v>
      </c>
      <c r="J10" t="s">
        <v>24</v>
      </c>
      <c r="K10" t="s">
        <v>46</v>
      </c>
      <c r="L10" t="s">
        <v>47</v>
      </c>
      <c r="M10" t="s">
        <v>24</v>
      </c>
      <c r="N10">
        <f>IF(Table1[[#This Row],[Akhir]]&lt;Table1[[#This Row],[Awal]],(Table1[[#This Row],[Akhir]]+1)-Table1[[#This Row],[Awal]],Table1[[#This Row],[Akhir]]-Table1[[#This Row],[Awal]])*24</f>
        <v>12</v>
      </c>
      <c r="O10" t="str">
        <f>IF(Table1[[#This Row],[Duration Real]]&gt;=6,"Major",
IF(Table1[[#This Row],[Duration Real]]&gt;=2,"Medium","Minor"))</f>
        <v>Major</v>
      </c>
    </row>
    <row r="11" spans="1:15" x14ac:dyDescent="0.35">
      <c r="A11" s="2">
        <v>46143</v>
      </c>
      <c r="B11" t="s">
        <v>15</v>
      </c>
      <c r="C11" t="s">
        <v>44</v>
      </c>
      <c r="D11" t="s">
        <v>45</v>
      </c>
      <c r="E11" t="s">
        <v>34</v>
      </c>
      <c r="F11" s="3">
        <v>0.75</v>
      </c>
      <c r="G11" s="4">
        <v>0.25</v>
      </c>
      <c r="H11" s="5" t="s">
        <v>19</v>
      </c>
      <c r="I11" t="s">
        <v>20</v>
      </c>
      <c r="J11" t="s">
        <v>24</v>
      </c>
      <c r="K11" t="s">
        <v>46</v>
      </c>
      <c r="L11" t="s">
        <v>47</v>
      </c>
      <c r="M11" t="s">
        <v>24</v>
      </c>
      <c r="N11">
        <f>IF(Table1[[#This Row],[Akhir]]&lt;Table1[[#This Row],[Awal]],(Table1[[#This Row],[Akhir]]+1)-Table1[[#This Row],[Awal]],Table1[[#This Row],[Akhir]]-Table1[[#This Row],[Awal]])*24</f>
        <v>12</v>
      </c>
      <c r="O11" t="str">
        <f>IF(Table1[[#This Row],[Duration Real]]&gt;=6,"Major",
IF(Table1[[#This Row],[Duration Real]]&gt;=2,"Medium","Minor"))</f>
        <v>Major</v>
      </c>
    </row>
    <row r="12" spans="1:15" x14ac:dyDescent="0.35">
      <c r="A12" s="2">
        <v>46143</v>
      </c>
      <c r="B12" t="s">
        <v>15</v>
      </c>
      <c r="C12" t="s">
        <v>48</v>
      </c>
      <c r="D12" t="s">
        <v>49</v>
      </c>
      <c r="E12" t="s">
        <v>50</v>
      </c>
      <c r="F12" s="3">
        <v>0.75</v>
      </c>
      <c r="G12" s="4">
        <v>0.80902777777777779</v>
      </c>
      <c r="H12" s="5" t="s">
        <v>19</v>
      </c>
      <c r="I12" t="s">
        <v>20</v>
      </c>
      <c r="J12" t="s">
        <v>24</v>
      </c>
      <c r="K12" t="s">
        <v>22</v>
      </c>
      <c r="L12" t="s">
        <v>51</v>
      </c>
      <c r="M12" t="s">
        <v>24</v>
      </c>
      <c r="N12">
        <f>IF(Table1[[#This Row],[Akhir]]&lt;Table1[[#This Row],[Awal]],(Table1[[#This Row],[Akhir]]+1)-Table1[[#This Row],[Awal]],Table1[[#This Row],[Akhir]]-Table1[[#This Row],[Awal]])*24</f>
        <v>1.416666666666667</v>
      </c>
      <c r="O12" t="str">
        <f>IF(Table1[[#This Row],[Duration Real]]&gt;=6,"Major",
IF(Table1[[#This Row],[Duration Real]]&gt;=2,"Medium","Minor"))</f>
        <v>Minor</v>
      </c>
    </row>
    <row r="13" spans="1:15" x14ac:dyDescent="0.35">
      <c r="A13" s="2">
        <v>46143</v>
      </c>
      <c r="B13" t="s">
        <v>15</v>
      </c>
      <c r="C13" t="s">
        <v>52</v>
      </c>
      <c r="D13" t="s">
        <v>53</v>
      </c>
      <c r="E13" t="s">
        <v>54</v>
      </c>
      <c r="F13" s="3">
        <v>0.25</v>
      </c>
      <c r="G13" s="4">
        <v>0.30416666666666664</v>
      </c>
      <c r="H13" s="5" t="s">
        <v>19</v>
      </c>
      <c r="I13" t="s">
        <v>26</v>
      </c>
      <c r="J13" t="s">
        <v>24</v>
      </c>
      <c r="K13" t="s">
        <v>22</v>
      </c>
      <c r="L13" t="s">
        <v>43</v>
      </c>
      <c r="M13" t="s">
        <v>24</v>
      </c>
      <c r="N13">
        <f>IF(Table1[[#This Row],[Akhir]]&lt;Table1[[#This Row],[Awal]],(Table1[[#This Row],[Akhir]]+1)-Table1[[#This Row],[Awal]],Table1[[#This Row],[Akhir]]-Table1[[#This Row],[Awal]])*24</f>
        <v>1.2999999999999994</v>
      </c>
      <c r="O13" t="str">
        <f>IF(Table1[[#This Row],[Duration Real]]&gt;=6,"Major",
IF(Table1[[#This Row],[Duration Real]]&gt;=2,"Medium","Minor"))</f>
        <v>Minor</v>
      </c>
    </row>
    <row r="14" spans="1:15" x14ac:dyDescent="0.35">
      <c r="A14" s="2">
        <v>46143</v>
      </c>
      <c r="B14" t="s">
        <v>15</v>
      </c>
      <c r="C14" t="s">
        <v>52</v>
      </c>
      <c r="D14" t="s">
        <v>55</v>
      </c>
      <c r="E14" t="s">
        <v>56</v>
      </c>
      <c r="F14" s="3">
        <v>0.375</v>
      </c>
      <c r="G14" s="4">
        <v>0.58333333333333337</v>
      </c>
      <c r="H14" s="5" t="s">
        <v>19</v>
      </c>
      <c r="I14" t="s">
        <v>26</v>
      </c>
      <c r="J14" t="s">
        <v>24</v>
      </c>
      <c r="K14" t="s">
        <v>22</v>
      </c>
      <c r="L14" t="s">
        <v>43</v>
      </c>
      <c r="M14" t="s">
        <v>24</v>
      </c>
      <c r="N14">
        <f>IF(Table1[[#This Row],[Akhir]]&lt;Table1[[#This Row],[Awal]],(Table1[[#This Row],[Akhir]]+1)-Table1[[#This Row],[Awal]],Table1[[#This Row],[Akhir]]-Table1[[#This Row],[Awal]])*24</f>
        <v>5.0000000000000009</v>
      </c>
      <c r="O14" t="str">
        <f>IF(Table1[[#This Row],[Duration Real]]&gt;=6,"Major",
IF(Table1[[#This Row],[Duration Real]]&gt;=2,"Medium","Minor"))</f>
        <v>Medium</v>
      </c>
    </row>
    <row r="15" spans="1:15" x14ac:dyDescent="0.35">
      <c r="A15" s="2">
        <v>46143</v>
      </c>
      <c r="B15" t="s">
        <v>15</v>
      </c>
      <c r="C15" t="s">
        <v>57</v>
      </c>
      <c r="D15" t="s">
        <v>58</v>
      </c>
      <c r="E15" t="s">
        <v>59</v>
      </c>
      <c r="F15" s="3">
        <v>0.8979166666666667</v>
      </c>
      <c r="G15" s="4">
        <v>0.9194444444444444</v>
      </c>
      <c r="H15" s="5" t="s">
        <v>19</v>
      </c>
      <c r="I15" t="s">
        <v>20</v>
      </c>
      <c r="J15" t="s">
        <v>24</v>
      </c>
      <c r="K15" t="s">
        <v>22</v>
      </c>
      <c r="L15" t="s">
        <v>60</v>
      </c>
      <c r="M15" t="s">
        <v>24</v>
      </c>
      <c r="N15">
        <f>IF(Table1[[#This Row],[Akhir]]&lt;Table1[[#This Row],[Awal]],(Table1[[#This Row],[Akhir]]+1)-Table1[[#This Row],[Awal]],Table1[[#This Row],[Akhir]]-Table1[[#This Row],[Awal]])*24</f>
        <v>0.51666666666666483</v>
      </c>
      <c r="O15" t="str">
        <f>IF(Table1[[#This Row],[Duration Real]]&gt;=6,"Major",
IF(Table1[[#This Row],[Duration Real]]&gt;=2,"Medium","Minor"))</f>
        <v>Minor</v>
      </c>
    </row>
    <row r="16" spans="1:15" x14ac:dyDescent="0.35">
      <c r="A16" s="2">
        <v>46143</v>
      </c>
      <c r="B16" t="s">
        <v>15</v>
      </c>
      <c r="C16" t="s">
        <v>57</v>
      </c>
      <c r="D16" t="s">
        <v>61</v>
      </c>
      <c r="E16" t="s">
        <v>59</v>
      </c>
      <c r="F16" s="3">
        <v>4.791666666666667E-2</v>
      </c>
      <c r="G16" s="4">
        <v>6.9444444444444448E-2</v>
      </c>
      <c r="H16" s="5" t="s">
        <v>19</v>
      </c>
      <c r="I16" t="s">
        <v>20</v>
      </c>
      <c r="J16" t="s">
        <v>24</v>
      </c>
      <c r="K16" t="s">
        <v>22</v>
      </c>
      <c r="L16" t="s">
        <v>60</v>
      </c>
      <c r="M16" t="s">
        <v>24</v>
      </c>
      <c r="N16">
        <f>IF(Table1[[#This Row],[Akhir]]&lt;Table1[[#This Row],[Awal]],(Table1[[#This Row],[Akhir]]+1)-Table1[[#This Row],[Awal]],Table1[[#This Row],[Akhir]]-Table1[[#This Row],[Awal]])*24</f>
        <v>0.51666666666666661</v>
      </c>
      <c r="O16" t="str">
        <f>IF(Table1[[#This Row],[Duration Real]]&gt;=6,"Major",
IF(Table1[[#This Row],[Duration Real]]&gt;=2,"Medium","Minor"))</f>
        <v>Minor</v>
      </c>
    </row>
    <row r="17" spans="1:15" x14ac:dyDescent="0.35">
      <c r="A17" s="2">
        <v>46143</v>
      </c>
      <c r="B17" t="s">
        <v>15</v>
      </c>
      <c r="C17" t="s">
        <v>57</v>
      </c>
      <c r="D17" t="s">
        <v>62</v>
      </c>
      <c r="E17" t="s">
        <v>63</v>
      </c>
      <c r="F17" s="3">
        <v>0.75</v>
      </c>
      <c r="G17" s="4">
        <v>0.82152777777777775</v>
      </c>
      <c r="H17" s="5" t="s">
        <v>19</v>
      </c>
      <c r="I17" t="s">
        <v>20</v>
      </c>
      <c r="J17" t="s">
        <v>24</v>
      </c>
      <c r="K17" t="s">
        <v>22</v>
      </c>
      <c r="L17" t="s">
        <v>60</v>
      </c>
      <c r="M17" t="s">
        <v>24</v>
      </c>
      <c r="N17">
        <f>IF(Table1[[#This Row],[Akhir]]&lt;Table1[[#This Row],[Awal]],(Table1[[#This Row],[Akhir]]+1)-Table1[[#This Row],[Awal]],Table1[[#This Row],[Akhir]]-Table1[[#This Row],[Awal]])*24</f>
        <v>1.7166666666666659</v>
      </c>
      <c r="O17" t="str">
        <f>IF(Table1[[#This Row],[Duration Real]]&gt;=6,"Major",
IF(Table1[[#This Row],[Duration Real]]&gt;=2,"Medium","Minor"))</f>
        <v>Minor</v>
      </c>
    </row>
    <row r="18" spans="1:15" x14ac:dyDescent="0.35">
      <c r="A18" s="2">
        <v>46143</v>
      </c>
      <c r="B18" t="s">
        <v>15</v>
      </c>
      <c r="C18" t="s">
        <v>64</v>
      </c>
      <c r="D18" t="s">
        <v>65</v>
      </c>
      <c r="E18" t="s">
        <v>66</v>
      </c>
      <c r="F18" s="3">
        <v>0.25</v>
      </c>
      <c r="G18" s="4">
        <v>0.38680555555555557</v>
      </c>
      <c r="H18" s="5" t="s">
        <v>19</v>
      </c>
      <c r="I18" t="s">
        <v>26</v>
      </c>
      <c r="J18" t="s">
        <v>24</v>
      </c>
      <c r="K18" t="s">
        <v>22</v>
      </c>
      <c r="L18" t="s">
        <v>67</v>
      </c>
      <c r="M18" t="s">
        <v>24</v>
      </c>
      <c r="N18">
        <f>IF(Table1[[#This Row],[Akhir]]&lt;Table1[[#This Row],[Awal]],(Table1[[#This Row],[Akhir]]+1)-Table1[[#This Row],[Awal]],Table1[[#This Row],[Akhir]]-Table1[[#This Row],[Awal]])*24</f>
        <v>3.2833333333333337</v>
      </c>
      <c r="O18" t="str">
        <f>IF(Table1[[#This Row],[Duration Real]]&gt;=6,"Major",
IF(Table1[[#This Row],[Duration Real]]&gt;=2,"Medium","Minor"))</f>
        <v>Medium</v>
      </c>
    </row>
    <row r="19" spans="1:15" x14ac:dyDescent="0.35">
      <c r="A19" s="2">
        <v>46143</v>
      </c>
      <c r="B19" t="s">
        <v>15</v>
      </c>
      <c r="C19" t="s">
        <v>64</v>
      </c>
      <c r="D19" t="s">
        <v>68</v>
      </c>
      <c r="E19" t="s">
        <v>69</v>
      </c>
      <c r="F19" s="3">
        <v>0.75</v>
      </c>
      <c r="G19" s="4">
        <v>0.8569444444444444</v>
      </c>
      <c r="H19" s="5" t="s">
        <v>19</v>
      </c>
      <c r="I19" t="s">
        <v>20</v>
      </c>
      <c r="J19" t="s">
        <v>24</v>
      </c>
      <c r="K19" t="s">
        <v>22</v>
      </c>
      <c r="L19" t="s">
        <v>70</v>
      </c>
      <c r="M19" t="s">
        <v>24</v>
      </c>
      <c r="N19">
        <f>IF(Table1[[#This Row],[Akhir]]&lt;Table1[[#This Row],[Awal]],(Table1[[#This Row],[Akhir]]+1)-Table1[[#This Row],[Awal]],Table1[[#This Row],[Akhir]]-Table1[[#This Row],[Awal]])*24</f>
        <v>2.5666666666666655</v>
      </c>
      <c r="O19" t="str">
        <f>IF(Table1[[#This Row],[Duration Real]]&gt;=6,"Major",
IF(Table1[[#This Row],[Duration Real]]&gt;=2,"Medium","Minor"))</f>
        <v>Medium</v>
      </c>
    </row>
    <row r="20" spans="1:15" x14ac:dyDescent="0.35">
      <c r="A20" s="2">
        <v>46143</v>
      </c>
      <c r="B20" t="s">
        <v>15</v>
      </c>
      <c r="C20" t="s">
        <v>64</v>
      </c>
      <c r="D20" t="s">
        <v>68</v>
      </c>
      <c r="E20" t="s">
        <v>71</v>
      </c>
      <c r="F20" s="3">
        <v>0.44166666666666665</v>
      </c>
      <c r="G20" s="4">
        <v>0.75</v>
      </c>
      <c r="H20" s="5" t="s">
        <v>19</v>
      </c>
      <c r="I20" t="s">
        <v>26</v>
      </c>
      <c r="J20" t="s">
        <v>24</v>
      </c>
      <c r="K20" t="s">
        <v>22</v>
      </c>
      <c r="L20" t="s">
        <v>70</v>
      </c>
      <c r="M20" t="s">
        <v>24</v>
      </c>
      <c r="N20">
        <f>IF(Table1[[#This Row],[Akhir]]&lt;Table1[[#This Row],[Awal]],(Table1[[#This Row],[Akhir]]+1)-Table1[[#This Row],[Awal]],Table1[[#This Row],[Akhir]]-Table1[[#This Row],[Awal]])*24</f>
        <v>7.4</v>
      </c>
      <c r="O20" t="str">
        <f>IF(Table1[[#This Row],[Duration Real]]&gt;=6,"Major",
IF(Table1[[#This Row],[Duration Real]]&gt;=2,"Medium","Minor"))</f>
        <v>Major</v>
      </c>
    </row>
    <row r="21" spans="1:15" x14ac:dyDescent="0.35">
      <c r="A21" s="2">
        <v>46143</v>
      </c>
      <c r="B21" t="s">
        <v>15</v>
      </c>
      <c r="C21" t="s">
        <v>64</v>
      </c>
      <c r="D21" t="s">
        <v>29</v>
      </c>
      <c r="E21" t="s">
        <v>72</v>
      </c>
      <c r="F21" s="3">
        <v>0.18541666666666667</v>
      </c>
      <c r="G21" s="4">
        <v>0.25</v>
      </c>
      <c r="H21" s="5" t="s">
        <v>19</v>
      </c>
      <c r="I21" t="s">
        <v>20</v>
      </c>
      <c r="J21" t="s">
        <v>24</v>
      </c>
      <c r="K21" t="s">
        <v>22</v>
      </c>
      <c r="L21" t="s">
        <v>73</v>
      </c>
      <c r="M21" t="s">
        <v>24</v>
      </c>
      <c r="N21">
        <f>IF(Table1[[#This Row],[Akhir]]&lt;Table1[[#This Row],[Awal]],(Table1[[#This Row],[Akhir]]+1)-Table1[[#This Row],[Awal]],Table1[[#This Row],[Akhir]]-Table1[[#This Row],[Awal]])*24</f>
        <v>1.5499999999999998</v>
      </c>
      <c r="O21" t="str">
        <f>IF(Table1[[#This Row],[Duration Real]]&gt;=6,"Major",
IF(Table1[[#This Row],[Duration Real]]&gt;=2,"Medium","Minor"))</f>
        <v>Minor</v>
      </c>
    </row>
    <row r="22" spans="1:15" x14ac:dyDescent="0.35">
      <c r="A22" s="2">
        <v>46143</v>
      </c>
      <c r="B22" t="s">
        <v>15</v>
      </c>
      <c r="C22" t="s">
        <v>64</v>
      </c>
      <c r="D22" t="s">
        <v>74</v>
      </c>
      <c r="E22" t="s">
        <v>75</v>
      </c>
      <c r="F22" s="3">
        <v>0.89027777777777772</v>
      </c>
      <c r="G22" s="4">
        <v>0.92638888888888893</v>
      </c>
      <c r="H22" s="5" t="s">
        <v>19</v>
      </c>
      <c r="I22" t="s">
        <v>20</v>
      </c>
      <c r="J22" t="s">
        <v>24</v>
      </c>
      <c r="K22" t="s">
        <v>22</v>
      </c>
      <c r="L22" t="s">
        <v>73</v>
      </c>
      <c r="M22" t="s">
        <v>24</v>
      </c>
      <c r="N22">
        <f>IF(Table1[[#This Row],[Akhir]]&lt;Table1[[#This Row],[Awal]],(Table1[[#This Row],[Akhir]]+1)-Table1[[#This Row],[Awal]],Table1[[#This Row],[Akhir]]-Table1[[#This Row],[Awal]])*24</f>
        <v>0.86666666666666892</v>
      </c>
      <c r="O22" t="str">
        <f>IF(Table1[[#This Row],[Duration Real]]&gt;=6,"Major",
IF(Table1[[#This Row],[Duration Real]]&gt;=2,"Medium","Minor"))</f>
        <v>Minor</v>
      </c>
    </row>
    <row r="23" spans="1:15" x14ac:dyDescent="0.35">
      <c r="A23" s="2">
        <v>46143</v>
      </c>
      <c r="B23" t="s">
        <v>15</v>
      </c>
      <c r="C23" t="s">
        <v>76</v>
      </c>
      <c r="D23" t="s">
        <v>61</v>
      </c>
      <c r="E23" t="s">
        <v>77</v>
      </c>
      <c r="F23" s="3">
        <v>0.75</v>
      </c>
      <c r="G23" s="4">
        <v>0.79861111111111116</v>
      </c>
      <c r="H23" s="5" t="s">
        <v>19</v>
      </c>
      <c r="I23" t="s">
        <v>20</v>
      </c>
      <c r="J23" t="s">
        <v>78</v>
      </c>
      <c r="K23" t="s">
        <v>22</v>
      </c>
      <c r="L23" t="s">
        <v>79</v>
      </c>
      <c r="M23" t="s">
        <v>24</v>
      </c>
      <c r="N23">
        <f>IF(Table1[[#This Row],[Akhir]]&lt;Table1[[#This Row],[Awal]],(Table1[[#This Row],[Akhir]]+1)-Table1[[#This Row],[Awal]],Table1[[#This Row],[Akhir]]-Table1[[#This Row],[Awal]])*24</f>
        <v>1.1666666666666679</v>
      </c>
      <c r="O23" t="str">
        <f>IF(Table1[[#This Row],[Duration Real]]&gt;=6,"Major",
IF(Table1[[#This Row],[Duration Real]]&gt;=2,"Medium","Minor"))</f>
        <v>Minor</v>
      </c>
    </row>
    <row r="24" spans="1:15" x14ac:dyDescent="0.35">
      <c r="A24" s="2">
        <v>46143</v>
      </c>
      <c r="B24" t="s">
        <v>15</v>
      </c>
      <c r="C24" t="s">
        <v>76</v>
      </c>
      <c r="D24" t="s">
        <v>61</v>
      </c>
      <c r="E24" t="s">
        <v>80</v>
      </c>
      <c r="F24" s="3">
        <v>0.59930555555555554</v>
      </c>
      <c r="G24" s="4">
        <v>0.75</v>
      </c>
      <c r="H24" s="5" t="s">
        <v>19</v>
      </c>
      <c r="I24" t="s">
        <v>26</v>
      </c>
      <c r="J24" t="s">
        <v>78</v>
      </c>
      <c r="K24" t="s">
        <v>22</v>
      </c>
      <c r="L24" t="s">
        <v>79</v>
      </c>
      <c r="M24" t="s">
        <v>24</v>
      </c>
      <c r="N24">
        <f>IF(Table1[[#This Row],[Akhir]]&lt;Table1[[#This Row],[Awal]],(Table1[[#This Row],[Akhir]]+1)-Table1[[#This Row],[Awal]],Table1[[#This Row],[Akhir]]-Table1[[#This Row],[Awal]])*24</f>
        <v>3.6166666666666671</v>
      </c>
      <c r="O24" t="str">
        <f>IF(Table1[[#This Row],[Duration Real]]&gt;=6,"Major",
IF(Table1[[#This Row],[Duration Real]]&gt;=2,"Medium","Minor"))</f>
        <v>Medium</v>
      </c>
    </row>
    <row r="25" spans="1:15" x14ac:dyDescent="0.35">
      <c r="A25" s="2">
        <v>46143</v>
      </c>
      <c r="B25" t="s">
        <v>15</v>
      </c>
      <c r="C25" t="s">
        <v>76</v>
      </c>
      <c r="D25" t="s">
        <v>81</v>
      </c>
      <c r="E25" t="s">
        <v>82</v>
      </c>
      <c r="F25" s="3">
        <v>0.25</v>
      </c>
      <c r="G25" s="4">
        <v>0.44236111111111109</v>
      </c>
      <c r="H25" s="5" t="s">
        <v>19</v>
      </c>
      <c r="I25" t="s">
        <v>26</v>
      </c>
      <c r="J25" t="s">
        <v>24</v>
      </c>
      <c r="K25" t="s">
        <v>83</v>
      </c>
      <c r="L25" t="s">
        <v>84</v>
      </c>
      <c r="M25" t="s">
        <v>24</v>
      </c>
      <c r="N25">
        <f>IF(Table1[[#This Row],[Akhir]]&lt;Table1[[#This Row],[Awal]],(Table1[[#This Row],[Akhir]]+1)-Table1[[#This Row],[Awal]],Table1[[#This Row],[Akhir]]-Table1[[#This Row],[Awal]])*24</f>
        <v>4.6166666666666663</v>
      </c>
      <c r="O25" t="str">
        <f>IF(Table1[[#This Row],[Duration Real]]&gt;=6,"Major",
IF(Table1[[#This Row],[Duration Real]]&gt;=2,"Medium","Minor"))</f>
        <v>Medium</v>
      </c>
    </row>
    <row r="26" spans="1:15" x14ac:dyDescent="0.35">
      <c r="A26" s="2">
        <v>46143</v>
      </c>
      <c r="B26" t="s">
        <v>15</v>
      </c>
      <c r="C26" t="s">
        <v>85</v>
      </c>
      <c r="D26" t="s">
        <v>86</v>
      </c>
      <c r="E26" t="s">
        <v>34</v>
      </c>
      <c r="F26" s="3">
        <v>0.25</v>
      </c>
      <c r="G26" s="4">
        <v>0.75</v>
      </c>
      <c r="H26" s="5" t="s">
        <v>19</v>
      </c>
      <c r="I26" t="s">
        <v>26</v>
      </c>
      <c r="J26" t="s">
        <v>24</v>
      </c>
      <c r="K26" t="s">
        <v>22</v>
      </c>
      <c r="L26" t="s">
        <v>87</v>
      </c>
      <c r="M26" t="s">
        <v>24</v>
      </c>
      <c r="N26">
        <f>IF(Table1[[#This Row],[Akhir]]&lt;Table1[[#This Row],[Awal]],(Table1[[#This Row],[Akhir]]+1)-Table1[[#This Row],[Awal]],Table1[[#This Row],[Akhir]]-Table1[[#This Row],[Awal]])*24</f>
        <v>12</v>
      </c>
      <c r="O26" t="str">
        <f>IF(Table1[[#This Row],[Duration Real]]&gt;=6,"Major",
IF(Table1[[#This Row],[Duration Real]]&gt;=2,"Medium","Minor"))</f>
        <v>Major</v>
      </c>
    </row>
    <row r="27" spans="1:15" x14ac:dyDescent="0.35">
      <c r="A27" s="2">
        <v>46143</v>
      </c>
      <c r="B27" t="s">
        <v>15</v>
      </c>
      <c r="C27" t="s">
        <v>85</v>
      </c>
      <c r="D27" t="s">
        <v>86</v>
      </c>
      <c r="E27" t="s">
        <v>34</v>
      </c>
      <c r="F27" s="3">
        <v>0.75</v>
      </c>
      <c r="G27" s="4">
        <v>0.25</v>
      </c>
      <c r="H27" s="5" t="s">
        <v>19</v>
      </c>
      <c r="I27" t="s">
        <v>20</v>
      </c>
      <c r="J27" t="s">
        <v>24</v>
      </c>
      <c r="K27" t="s">
        <v>22</v>
      </c>
      <c r="L27" t="s">
        <v>87</v>
      </c>
      <c r="M27" t="s">
        <v>24</v>
      </c>
      <c r="N27">
        <f>IF(Table1[[#This Row],[Akhir]]&lt;Table1[[#This Row],[Awal]],(Table1[[#This Row],[Akhir]]+1)-Table1[[#This Row],[Awal]],Table1[[#This Row],[Akhir]]-Table1[[#This Row],[Awal]])*24</f>
        <v>12</v>
      </c>
      <c r="O27" t="str">
        <f>IF(Table1[[#This Row],[Duration Real]]&gt;=6,"Major",
IF(Table1[[#This Row],[Duration Real]]&gt;=2,"Medium","Minor"))</f>
        <v>Major</v>
      </c>
    </row>
    <row r="28" spans="1:15" x14ac:dyDescent="0.35">
      <c r="A28" s="2">
        <v>46143</v>
      </c>
      <c r="B28" t="s">
        <v>15</v>
      </c>
      <c r="C28" t="s">
        <v>88</v>
      </c>
      <c r="D28" t="s">
        <v>89</v>
      </c>
      <c r="E28" t="s">
        <v>90</v>
      </c>
      <c r="F28" s="3">
        <v>0.25</v>
      </c>
      <c r="G28" s="4">
        <v>0.64722222222222225</v>
      </c>
      <c r="H28" s="5" t="s">
        <v>19</v>
      </c>
      <c r="I28" t="s">
        <v>26</v>
      </c>
      <c r="J28" t="s">
        <v>24</v>
      </c>
      <c r="K28" t="s">
        <v>22</v>
      </c>
      <c r="L28" t="s">
        <v>35</v>
      </c>
      <c r="M28" t="s">
        <v>24</v>
      </c>
      <c r="N28">
        <f>IF(Table1[[#This Row],[Akhir]]&lt;Table1[[#This Row],[Awal]],(Table1[[#This Row],[Akhir]]+1)-Table1[[#This Row],[Awal]],Table1[[#This Row],[Akhir]]-Table1[[#This Row],[Awal]])*24</f>
        <v>9.533333333333335</v>
      </c>
      <c r="O28" t="str">
        <f>IF(Table1[[#This Row],[Duration Real]]&gt;=6,"Major",
IF(Table1[[#This Row],[Duration Real]]&gt;=2,"Medium","Minor"))</f>
        <v>Major</v>
      </c>
    </row>
    <row r="29" spans="1:15" x14ac:dyDescent="0.35">
      <c r="A29" s="2">
        <v>46143</v>
      </c>
      <c r="B29" t="s">
        <v>15</v>
      </c>
      <c r="C29" t="s">
        <v>88</v>
      </c>
      <c r="D29" t="s">
        <v>91</v>
      </c>
      <c r="E29" t="s">
        <v>92</v>
      </c>
      <c r="F29" s="3">
        <v>0.7</v>
      </c>
      <c r="G29" s="4">
        <v>0.71944444444444444</v>
      </c>
      <c r="H29" s="5" t="s">
        <v>93</v>
      </c>
      <c r="I29" t="s">
        <v>26</v>
      </c>
      <c r="J29" t="s">
        <v>24</v>
      </c>
      <c r="K29" t="s">
        <v>22</v>
      </c>
      <c r="L29" t="s">
        <v>23</v>
      </c>
      <c r="M29" t="s">
        <v>24</v>
      </c>
      <c r="N29">
        <f>IF(Table1[[#This Row],[Akhir]]&lt;Table1[[#This Row],[Awal]],(Table1[[#This Row],[Akhir]]+1)-Table1[[#This Row],[Awal]],Table1[[#This Row],[Akhir]]-Table1[[#This Row],[Awal]])*24</f>
        <v>0.46666666666666767</v>
      </c>
      <c r="O29" t="str">
        <f>IF(Table1[[#This Row],[Duration Real]]&gt;=6,"Major",
IF(Table1[[#This Row],[Duration Real]]&gt;=2,"Medium","Minor"))</f>
        <v>Minor</v>
      </c>
    </row>
    <row r="30" spans="1:15" x14ac:dyDescent="0.35">
      <c r="A30" s="2">
        <v>46143</v>
      </c>
      <c r="B30" t="s">
        <v>94</v>
      </c>
      <c r="C30" t="s">
        <v>95</v>
      </c>
      <c r="D30" t="s">
        <v>96</v>
      </c>
      <c r="E30" t="s">
        <v>97</v>
      </c>
      <c r="F30" s="3">
        <v>0.96388888888888891</v>
      </c>
      <c r="G30" s="4">
        <v>0.11805555555555555</v>
      </c>
      <c r="H30" s="5" t="s">
        <v>19</v>
      </c>
      <c r="I30" t="s">
        <v>20</v>
      </c>
      <c r="J30" t="s">
        <v>24</v>
      </c>
      <c r="K30" t="s">
        <v>22</v>
      </c>
      <c r="L30" t="s">
        <v>98</v>
      </c>
      <c r="M30" t="s">
        <v>24</v>
      </c>
      <c r="N30">
        <f>IF(Table1[[#This Row],[Akhir]]&lt;Table1[[#This Row],[Awal]],(Table1[[#This Row],[Akhir]]+1)-Table1[[#This Row],[Awal]],Table1[[#This Row],[Akhir]]-Table1[[#This Row],[Awal]])*24</f>
        <v>3.7</v>
      </c>
      <c r="O30" t="str">
        <f>IF(Table1[[#This Row],[Duration Real]]&gt;=6,"Major",
IF(Table1[[#This Row],[Duration Real]]&gt;=2,"Medium","Minor"))</f>
        <v>Medium</v>
      </c>
    </row>
    <row r="31" spans="1:15" x14ac:dyDescent="0.35">
      <c r="A31" s="2">
        <v>46143</v>
      </c>
      <c r="B31" t="s">
        <v>94</v>
      </c>
      <c r="C31" t="s">
        <v>99</v>
      </c>
      <c r="D31" t="s">
        <v>100</v>
      </c>
      <c r="E31" t="s">
        <v>34</v>
      </c>
      <c r="F31" s="3">
        <v>0.25</v>
      </c>
      <c r="G31" s="4">
        <v>0.75</v>
      </c>
      <c r="H31" s="5" t="s">
        <v>19</v>
      </c>
      <c r="I31" t="s">
        <v>26</v>
      </c>
      <c r="J31" t="s">
        <v>24</v>
      </c>
      <c r="K31" t="s">
        <v>22</v>
      </c>
      <c r="L31" t="s">
        <v>23</v>
      </c>
      <c r="M31" t="s">
        <v>24</v>
      </c>
      <c r="N31">
        <f>IF(Table1[[#This Row],[Akhir]]&lt;Table1[[#This Row],[Awal]],(Table1[[#This Row],[Akhir]]+1)-Table1[[#This Row],[Awal]],Table1[[#This Row],[Akhir]]-Table1[[#This Row],[Awal]])*24</f>
        <v>12</v>
      </c>
      <c r="O31" t="str">
        <f>IF(Table1[[#This Row],[Duration Real]]&gt;=6,"Major",
IF(Table1[[#This Row],[Duration Real]]&gt;=2,"Medium","Minor"))</f>
        <v>Major</v>
      </c>
    </row>
    <row r="32" spans="1:15" x14ac:dyDescent="0.35">
      <c r="A32" s="2">
        <v>46143</v>
      </c>
      <c r="B32" t="s">
        <v>94</v>
      </c>
      <c r="C32" t="s">
        <v>99</v>
      </c>
      <c r="D32" t="s">
        <v>100</v>
      </c>
      <c r="E32" t="s">
        <v>34</v>
      </c>
      <c r="F32" s="3">
        <v>0.75</v>
      </c>
      <c r="G32" s="4">
        <v>0.25</v>
      </c>
      <c r="H32" s="5" t="s">
        <v>19</v>
      </c>
      <c r="I32" t="s">
        <v>20</v>
      </c>
      <c r="J32" t="s">
        <v>24</v>
      </c>
      <c r="K32" t="s">
        <v>22</v>
      </c>
      <c r="L32" t="s">
        <v>23</v>
      </c>
      <c r="M32" t="s">
        <v>24</v>
      </c>
      <c r="N32">
        <f>IF(Table1[[#This Row],[Akhir]]&lt;Table1[[#This Row],[Awal]],(Table1[[#This Row],[Akhir]]+1)-Table1[[#This Row],[Awal]],Table1[[#This Row],[Akhir]]-Table1[[#This Row],[Awal]])*24</f>
        <v>12</v>
      </c>
      <c r="O32" t="str">
        <f>IF(Table1[[#This Row],[Duration Real]]&gt;=6,"Major",
IF(Table1[[#This Row],[Duration Real]]&gt;=2,"Medium","Minor"))</f>
        <v>Major</v>
      </c>
    </row>
    <row r="33" spans="1:15" x14ac:dyDescent="0.35">
      <c r="A33" s="2">
        <v>46143</v>
      </c>
      <c r="B33" t="s">
        <v>94</v>
      </c>
      <c r="C33" t="s">
        <v>101</v>
      </c>
      <c r="D33" t="s">
        <v>102</v>
      </c>
      <c r="E33" t="s">
        <v>34</v>
      </c>
      <c r="F33" s="3">
        <v>0.25</v>
      </c>
      <c r="G33" s="4">
        <v>0.75</v>
      </c>
      <c r="H33" s="5" t="s">
        <v>19</v>
      </c>
      <c r="I33" t="s">
        <v>26</v>
      </c>
      <c r="J33" t="s">
        <v>24</v>
      </c>
      <c r="K33" t="s">
        <v>22</v>
      </c>
      <c r="L33" t="s">
        <v>23</v>
      </c>
      <c r="M33" t="s">
        <v>24</v>
      </c>
      <c r="N33">
        <f>IF(Table1[[#This Row],[Akhir]]&lt;Table1[[#This Row],[Awal]],(Table1[[#This Row],[Akhir]]+1)-Table1[[#This Row],[Awal]],Table1[[#This Row],[Akhir]]-Table1[[#This Row],[Awal]])*24</f>
        <v>12</v>
      </c>
      <c r="O33" t="str">
        <f>IF(Table1[[#This Row],[Duration Real]]&gt;=6,"Major",
IF(Table1[[#This Row],[Duration Real]]&gt;=2,"Medium","Minor"))</f>
        <v>Major</v>
      </c>
    </row>
    <row r="34" spans="1:15" x14ac:dyDescent="0.35">
      <c r="A34" s="2">
        <v>46143</v>
      </c>
      <c r="B34" t="s">
        <v>94</v>
      </c>
      <c r="C34" t="s">
        <v>101</v>
      </c>
      <c r="D34" t="s">
        <v>102</v>
      </c>
      <c r="E34" t="s">
        <v>34</v>
      </c>
      <c r="F34" s="3">
        <v>0.75</v>
      </c>
      <c r="G34" s="4">
        <v>0.25</v>
      </c>
      <c r="H34" s="5" t="s">
        <v>19</v>
      </c>
      <c r="I34" t="s">
        <v>20</v>
      </c>
      <c r="J34" t="s">
        <v>24</v>
      </c>
      <c r="K34" t="s">
        <v>22</v>
      </c>
      <c r="L34" t="s">
        <v>23</v>
      </c>
      <c r="M34" t="s">
        <v>24</v>
      </c>
      <c r="N34">
        <f>IF(Table1[[#This Row],[Akhir]]&lt;Table1[[#This Row],[Awal]],(Table1[[#This Row],[Akhir]]+1)-Table1[[#This Row],[Awal]],Table1[[#This Row],[Akhir]]-Table1[[#This Row],[Awal]])*24</f>
        <v>12</v>
      </c>
      <c r="O34" t="str">
        <f>IF(Table1[[#This Row],[Duration Real]]&gt;=6,"Major",
IF(Table1[[#This Row],[Duration Real]]&gt;=2,"Medium","Minor"))</f>
        <v>Major</v>
      </c>
    </row>
    <row r="35" spans="1:15" x14ac:dyDescent="0.35">
      <c r="A35" s="2">
        <v>46144</v>
      </c>
      <c r="B35" t="s">
        <v>15</v>
      </c>
      <c r="C35" t="s">
        <v>16</v>
      </c>
      <c r="D35" t="s">
        <v>103</v>
      </c>
      <c r="E35" t="s">
        <v>34</v>
      </c>
      <c r="F35" s="3">
        <v>0.75</v>
      </c>
      <c r="G35" s="4">
        <v>0.25</v>
      </c>
      <c r="H35" s="5" t="s">
        <v>19</v>
      </c>
      <c r="I35" t="s">
        <v>20</v>
      </c>
      <c r="J35" t="s">
        <v>24</v>
      </c>
      <c r="K35" t="s">
        <v>22</v>
      </c>
      <c r="L35" t="s">
        <v>23</v>
      </c>
      <c r="M35" t="s">
        <v>24</v>
      </c>
      <c r="N35">
        <f>IF(Table1[[#This Row],[Akhir]]&lt;Table1[[#This Row],[Awal]],(Table1[[#This Row],[Akhir]]+1)-Table1[[#This Row],[Awal]],Table1[[#This Row],[Akhir]]-Table1[[#This Row],[Awal]])*24</f>
        <v>12</v>
      </c>
      <c r="O35" t="str">
        <f>IF(Table1[[#This Row],[Duration Real]]&gt;=6,"Major",
IF(Table1[[#This Row],[Duration Real]]&gt;=2,"Medium","Minor"))</f>
        <v>Major</v>
      </c>
    </row>
    <row r="36" spans="1:15" x14ac:dyDescent="0.35">
      <c r="A36" s="2">
        <v>46144</v>
      </c>
      <c r="B36" t="s">
        <v>15</v>
      </c>
      <c r="C36" t="s">
        <v>32</v>
      </c>
      <c r="D36" t="s">
        <v>33</v>
      </c>
      <c r="E36" t="s">
        <v>34</v>
      </c>
      <c r="F36" s="3">
        <v>0.75</v>
      </c>
      <c r="G36" s="4">
        <v>0.25</v>
      </c>
      <c r="H36" s="5" t="s">
        <v>19</v>
      </c>
      <c r="I36" t="s">
        <v>20</v>
      </c>
      <c r="J36" t="s">
        <v>24</v>
      </c>
      <c r="K36" t="s">
        <v>22</v>
      </c>
      <c r="L36" t="s">
        <v>35</v>
      </c>
      <c r="M36" t="s">
        <v>24</v>
      </c>
      <c r="N36">
        <f>IF(Table1[[#This Row],[Akhir]]&lt;Table1[[#This Row],[Awal]],(Table1[[#This Row],[Akhir]]+1)-Table1[[#This Row],[Awal]],Table1[[#This Row],[Akhir]]-Table1[[#This Row],[Awal]])*24</f>
        <v>12</v>
      </c>
      <c r="O36" t="str">
        <f>IF(Table1[[#This Row],[Duration Real]]&gt;=6,"Major",
IF(Table1[[#This Row],[Duration Real]]&gt;=2,"Medium","Minor"))</f>
        <v>Major</v>
      </c>
    </row>
    <row r="37" spans="1:15" x14ac:dyDescent="0.35">
      <c r="A37" s="2">
        <v>46144</v>
      </c>
      <c r="B37" t="s">
        <v>15</v>
      </c>
      <c r="C37" t="s">
        <v>41</v>
      </c>
      <c r="D37" t="s">
        <v>42</v>
      </c>
      <c r="E37" t="s">
        <v>34</v>
      </c>
      <c r="F37" s="3">
        <v>0.75</v>
      </c>
      <c r="G37" s="4">
        <v>0.25</v>
      </c>
      <c r="H37" s="5" t="s">
        <v>19</v>
      </c>
      <c r="I37" t="s">
        <v>20</v>
      </c>
      <c r="J37" t="s">
        <v>24</v>
      </c>
      <c r="K37" t="s">
        <v>39</v>
      </c>
      <c r="L37" t="s">
        <v>43</v>
      </c>
      <c r="M37" t="s">
        <v>24</v>
      </c>
      <c r="N37">
        <f>IF(Table1[[#This Row],[Akhir]]&lt;Table1[[#This Row],[Awal]],(Table1[[#This Row],[Akhir]]+1)-Table1[[#This Row],[Awal]],Table1[[#This Row],[Akhir]]-Table1[[#This Row],[Awal]])*24</f>
        <v>12</v>
      </c>
      <c r="O37" t="str">
        <f>IF(Table1[[#This Row],[Duration Real]]&gt;=6,"Major",
IF(Table1[[#This Row],[Duration Real]]&gt;=2,"Medium","Minor"))</f>
        <v>Major</v>
      </c>
    </row>
    <row r="38" spans="1:15" x14ac:dyDescent="0.35">
      <c r="A38" s="2">
        <v>46144</v>
      </c>
      <c r="B38" t="s">
        <v>15</v>
      </c>
      <c r="C38" t="s">
        <v>44</v>
      </c>
      <c r="D38" t="s">
        <v>45</v>
      </c>
      <c r="E38" t="s">
        <v>34</v>
      </c>
      <c r="F38" s="3">
        <v>0.75</v>
      </c>
      <c r="G38" s="4">
        <v>0.25</v>
      </c>
      <c r="H38" s="5" t="s">
        <v>19</v>
      </c>
      <c r="I38" t="s">
        <v>20</v>
      </c>
      <c r="J38" t="s">
        <v>24</v>
      </c>
      <c r="K38" t="s">
        <v>46</v>
      </c>
      <c r="L38" t="s">
        <v>47</v>
      </c>
      <c r="M38" t="s">
        <v>24</v>
      </c>
      <c r="N38">
        <f>IF(Table1[[#This Row],[Akhir]]&lt;Table1[[#This Row],[Awal]],(Table1[[#This Row],[Akhir]]+1)-Table1[[#This Row],[Awal]],Table1[[#This Row],[Akhir]]-Table1[[#This Row],[Awal]])*24</f>
        <v>12</v>
      </c>
      <c r="O38" t="str">
        <f>IF(Table1[[#This Row],[Duration Real]]&gt;=6,"Major",
IF(Table1[[#This Row],[Duration Real]]&gt;=2,"Medium","Minor"))</f>
        <v>Major</v>
      </c>
    </row>
    <row r="39" spans="1:15" x14ac:dyDescent="0.35">
      <c r="A39" s="2">
        <v>46144</v>
      </c>
      <c r="B39" t="s">
        <v>15</v>
      </c>
      <c r="C39" t="s">
        <v>48</v>
      </c>
      <c r="D39" t="s">
        <v>104</v>
      </c>
      <c r="E39" t="s">
        <v>105</v>
      </c>
      <c r="F39" s="3">
        <v>0.75</v>
      </c>
      <c r="G39" s="4">
        <v>0.87847222222222221</v>
      </c>
      <c r="H39" s="5" t="s">
        <v>19</v>
      </c>
      <c r="I39" t="s">
        <v>20</v>
      </c>
      <c r="J39" t="s">
        <v>106</v>
      </c>
      <c r="K39" t="s">
        <v>107</v>
      </c>
      <c r="L39" t="s">
        <v>51</v>
      </c>
      <c r="M39" t="s">
        <v>24</v>
      </c>
      <c r="N39">
        <f>IF(Table1[[#This Row],[Akhir]]&lt;Table1[[#This Row],[Awal]],(Table1[[#This Row],[Akhir]]+1)-Table1[[#This Row],[Awal]],Table1[[#This Row],[Akhir]]-Table1[[#This Row],[Awal]])*24</f>
        <v>3.083333333333333</v>
      </c>
      <c r="O39" t="str">
        <f>IF(Table1[[#This Row],[Duration Real]]&gt;=6,"Major",
IF(Table1[[#This Row],[Duration Real]]&gt;=2,"Medium","Minor"))</f>
        <v>Medium</v>
      </c>
    </row>
    <row r="40" spans="1:15" x14ac:dyDescent="0.35">
      <c r="A40" s="2">
        <v>46144</v>
      </c>
      <c r="B40" t="s">
        <v>15</v>
      </c>
      <c r="C40" t="s">
        <v>52</v>
      </c>
      <c r="D40" t="s">
        <v>108</v>
      </c>
      <c r="E40" t="s">
        <v>109</v>
      </c>
      <c r="F40" s="3">
        <v>0.17291666666666666</v>
      </c>
      <c r="G40" s="4">
        <v>0.20833333333333334</v>
      </c>
      <c r="H40" s="5" t="s">
        <v>19</v>
      </c>
      <c r="I40" t="s">
        <v>20</v>
      </c>
      <c r="J40" t="s">
        <v>24</v>
      </c>
      <c r="K40" t="s">
        <v>22</v>
      </c>
      <c r="L40" t="s">
        <v>110</v>
      </c>
      <c r="M40" t="s">
        <v>24</v>
      </c>
      <c r="N40">
        <f>IF(Table1[[#This Row],[Akhir]]&lt;Table1[[#This Row],[Awal]],(Table1[[#This Row],[Akhir]]+1)-Table1[[#This Row],[Awal]],Table1[[#This Row],[Akhir]]-Table1[[#This Row],[Awal]])*24</f>
        <v>0.85000000000000031</v>
      </c>
      <c r="O40" t="str">
        <f>IF(Table1[[#This Row],[Duration Real]]&gt;=6,"Major",
IF(Table1[[#This Row],[Duration Real]]&gt;=2,"Medium","Minor"))</f>
        <v>Minor</v>
      </c>
    </row>
    <row r="41" spans="1:15" x14ac:dyDescent="0.35">
      <c r="A41" s="2">
        <v>46144</v>
      </c>
      <c r="B41" t="s">
        <v>15</v>
      </c>
      <c r="C41" t="s">
        <v>57</v>
      </c>
      <c r="D41" t="s">
        <v>37</v>
      </c>
      <c r="E41" t="s">
        <v>111</v>
      </c>
      <c r="F41" s="3">
        <v>0.77222222222222225</v>
      </c>
      <c r="G41" s="4">
        <v>0.8569444444444444</v>
      </c>
      <c r="H41" s="5" t="s">
        <v>19</v>
      </c>
      <c r="I41" t="s">
        <v>20</v>
      </c>
      <c r="J41" t="s">
        <v>112</v>
      </c>
      <c r="K41" t="s">
        <v>22</v>
      </c>
      <c r="L41" t="s">
        <v>113</v>
      </c>
      <c r="M41" t="s">
        <v>24</v>
      </c>
      <c r="N41">
        <f>IF(Table1[[#This Row],[Akhir]]&lt;Table1[[#This Row],[Awal]],(Table1[[#This Row],[Akhir]]+1)-Table1[[#This Row],[Awal]],Table1[[#This Row],[Akhir]]-Table1[[#This Row],[Awal]])*24</f>
        <v>2.0333333333333314</v>
      </c>
      <c r="O41" t="str">
        <f>IF(Table1[[#This Row],[Duration Real]]&gt;=6,"Major",
IF(Table1[[#This Row],[Duration Real]]&gt;=2,"Medium","Minor"))</f>
        <v>Medium</v>
      </c>
    </row>
    <row r="42" spans="1:15" x14ac:dyDescent="0.35">
      <c r="A42" s="2">
        <v>46144</v>
      </c>
      <c r="B42" t="s">
        <v>15</v>
      </c>
      <c r="C42" t="s">
        <v>64</v>
      </c>
      <c r="D42" t="s">
        <v>114</v>
      </c>
      <c r="E42" t="s">
        <v>115</v>
      </c>
      <c r="F42" s="3">
        <v>0.75</v>
      </c>
      <c r="G42" s="4">
        <v>0.81180555555555556</v>
      </c>
      <c r="H42" s="5" t="s">
        <v>19</v>
      </c>
      <c r="I42" t="s">
        <v>20</v>
      </c>
      <c r="J42" t="s">
        <v>24</v>
      </c>
      <c r="K42" t="s">
        <v>46</v>
      </c>
      <c r="L42" t="s">
        <v>67</v>
      </c>
      <c r="M42" t="s">
        <v>24</v>
      </c>
      <c r="N42">
        <f>IF(Table1[[#This Row],[Akhir]]&lt;Table1[[#This Row],[Awal]],(Table1[[#This Row],[Akhir]]+1)-Table1[[#This Row],[Awal]],Table1[[#This Row],[Akhir]]-Table1[[#This Row],[Awal]])*24</f>
        <v>1.4833333333333334</v>
      </c>
      <c r="O42" t="str">
        <f>IF(Table1[[#This Row],[Duration Real]]&gt;=6,"Major",
IF(Table1[[#This Row],[Duration Real]]&gt;=2,"Medium","Minor"))</f>
        <v>Minor</v>
      </c>
    </row>
    <row r="43" spans="1:15" x14ac:dyDescent="0.35">
      <c r="A43" s="2">
        <v>46144</v>
      </c>
      <c r="B43" t="s">
        <v>15</v>
      </c>
      <c r="C43" t="s">
        <v>85</v>
      </c>
      <c r="D43" t="s">
        <v>86</v>
      </c>
      <c r="E43" t="s">
        <v>34</v>
      </c>
      <c r="F43" s="3">
        <v>0.75</v>
      </c>
      <c r="G43" s="4">
        <v>0.25</v>
      </c>
      <c r="H43" s="5" t="s">
        <v>19</v>
      </c>
      <c r="I43" t="s">
        <v>20</v>
      </c>
      <c r="J43" t="s">
        <v>24</v>
      </c>
      <c r="K43" t="s">
        <v>22</v>
      </c>
      <c r="L43" t="s">
        <v>87</v>
      </c>
      <c r="M43" t="s">
        <v>24</v>
      </c>
      <c r="N43">
        <f>IF(Table1[[#This Row],[Akhir]]&lt;Table1[[#This Row],[Awal]],(Table1[[#This Row],[Akhir]]+1)-Table1[[#This Row],[Awal]],Table1[[#This Row],[Akhir]]-Table1[[#This Row],[Awal]])*24</f>
        <v>12</v>
      </c>
      <c r="O43" t="str">
        <f>IF(Table1[[#This Row],[Duration Real]]&gt;=6,"Major",
IF(Table1[[#This Row],[Duration Real]]&gt;=2,"Medium","Minor"))</f>
        <v>Major</v>
      </c>
    </row>
    <row r="44" spans="1:15" x14ac:dyDescent="0.35">
      <c r="A44" s="2">
        <v>46144</v>
      </c>
      <c r="B44" t="s">
        <v>15</v>
      </c>
      <c r="C44" t="s">
        <v>88</v>
      </c>
      <c r="D44" t="s">
        <v>116</v>
      </c>
      <c r="E44" t="s">
        <v>117</v>
      </c>
      <c r="F44" s="3">
        <v>0.84305555555555556</v>
      </c>
      <c r="G44" s="4">
        <v>0.88402777777777775</v>
      </c>
      <c r="H44" s="5" t="s">
        <v>19</v>
      </c>
      <c r="I44" t="s">
        <v>20</v>
      </c>
      <c r="J44" t="s">
        <v>24</v>
      </c>
      <c r="K44" t="s">
        <v>39</v>
      </c>
      <c r="L44" t="s">
        <v>40</v>
      </c>
      <c r="M44" t="s">
        <v>24</v>
      </c>
      <c r="N44">
        <f>IF(Table1[[#This Row],[Akhir]]&lt;Table1[[#This Row],[Awal]],(Table1[[#This Row],[Akhir]]+1)-Table1[[#This Row],[Awal]],Table1[[#This Row],[Akhir]]-Table1[[#This Row],[Awal]])*24</f>
        <v>0.9833333333333325</v>
      </c>
      <c r="O44" t="str">
        <f>IF(Table1[[#This Row],[Duration Real]]&gt;=6,"Major",
IF(Table1[[#This Row],[Duration Real]]&gt;=2,"Medium","Minor"))</f>
        <v>Minor</v>
      </c>
    </row>
    <row r="45" spans="1:15" x14ac:dyDescent="0.35">
      <c r="A45" s="2">
        <v>46144</v>
      </c>
      <c r="B45" t="s">
        <v>15</v>
      </c>
      <c r="C45" t="s">
        <v>118</v>
      </c>
      <c r="D45" t="s">
        <v>119</v>
      </c>
      <c r="E45" t="s">
        <v>120</v>
      </c>
      <c r="F45" s="3">
        <v>0.83333333333333337</v>
      </c>
      <c r="G45" s="4">
        <v>0.90277777777777779</v>
      </c>
      <c r="H45" s="5" t="s">
        <v>19</v>
      </c>
      <c r="I45" t="s">
        <v>20</v>
      </c>
      <c r="J45" t="s">
        <v>24</v>
      </c>
      <c r="K45" t="s">
        <v>46</v>
      </c>
      <c r="L45" t="s">
        <v>121</v>
      </c>
      <c r="M45" t="s">
        <v>24</v>
      </c>
      <c r="N45">
        <f>IF(Table1[[#This Row],[Akhir]]&lt;Table1[[#This Row],[Awal]],(Table1[[#This Row],[Akhir]]+1)-Table1[[#This Row],[Awal]],Table1[[#This Row],[Akhir]]-Table1[[#This Row],[Awal]])*24</f>
        <v>1.6666666666666661</v>
      </c>
      <c r="O45" t="str">
        <f>IF(Table1[[#This Row],[Duration Real]]&gt;=6,"Major",
IF(Table1[[#This Row],[Duration Real]]&gt;=2,"Medium","Minor"))</f>
        <v>Minor</v>
      </c>
    </row>
    <row r="46" spans="1:15" x14ac:dyDescent="0.35">
      <c r="A46" s="2">
        <v>46144</v>
      </c>
      <c r="B46" t="s">
        <v>94</v>
      </c>
      <c r="C46" t="s">
        <v>99</v>
      </c>
      <c r="D46" t="s">
        <v>100</v>
      </c>
      <c r="E46" t="s">
        <v>122</v>
      </c>
      <c r="F46" s="3">
        <v>0.75</v>
      </c>
      <c r="G46" s="4">
        <v>0.83888888888888891</v>
      </c>
      <c r="H46" s="5" t="s">
        <v>19</v>
      </c>
      <c r="I46" t="s">
        <v>20</v>
      </c>
      <c r="J46" t="s">
        <v>24</v>
      </c>
      <c r="K46" t="s">
        <v>22</v>
      </c>
      <c r="L46" t="s">
        <v>23</v>
      </c>
      <c r="M46" t="s">
        <v>24</v>
      </c>
      <c r="N46">
        <f>IF(Table1[[#This Row],[Akhir]]&lt;Table1[[#This Row],[Awal]],(Table1[[#This Row],[Akhir]]+1)-Table1[[#This Row],[Awal]],Table1[[#This Row],[Akhir]]-Table1[[#This Row],[Awal]])*24</f>
        <v>2.1333333333333337</v>
      </c>
      <c r="O46" t="str">
        <f>IF(Table1[[#This Row],[Duration Real]]&gt;=6,"Major",
IF(Table1[[#This Row],[Duration Real]]&gt;=2,"Medium","Minor"))</f>
        <v>Medium</v>
      </c>
    </row>
    <row r="47" spans="1:15" x14ac:dyDescent="0.35">
      <c r="A47" s="2">
        <v>46144</v>
      </c>
      <c r="B47" t="s">
        <v>94</v>
      </c>
      <c r="C47" t="s">
        <v>101</v>
      </c>
      <c r="D47" t="s">
        <v>102</v>
      </c>
      <c r="E47" t="s">
        <v>34</v>
      </c>
      <c r="F47" s="3">
        <v>0.75</v>
      </c>
      <c r="G47" s="4">
        <v>0.25</v>
      </c>
      <c r="H47" s="5" t="s">
        <v>19</v>
      </c>
      <c r="I47" t="s">
        <v>20</v>
      </c>
      <c r="J47" t="s">
        <v>24</v>
      </c>
      <c r="K47" t="s">
        <v>22</v>
      </c>
      <c r="L47" t="s">
        <v>23</v>
      </c>
      <c r="M47" t="s">
        <v>24</v>
      </c>
      <c r="N47">
        <f>IF(Table1[[#This Row],[Akhir]]&lt;Table1[[#This Row],[Awal]],(Table1[[#This Row],[Akhir]]+1)-Table1[[#This Row],[Awal]],Table1[[#This Row],[Akhir]]-Table1[[#This Row],[Awal]])*24</f>
        <v>12</v>
      </c>
      <c r="O47" t="str">
        <f>IF(Table1[[#This Row],[Duration Real]]&gt;=6,"Major",
IF(Table1[[#This Row],[Duration Real]]&gt;=2,"Medium","Minor"))</f>
        <v>Major</v>
      </c>
    </row>
    <row r="48" spans="1:15" x14ac:dyDescent="0.35">
      <c r="A48" s="2">
        <v>46145</v>
      </c>
      <c r="B48" t="s">
        <v>15</v>
      </c>
      <c r="C48" t="s">
        <v>16</v>
      </c>
      <c r="D48" t="s">
        <v>103</v>
      </c>
      <c r="E48" t="s">
        <v>123</v>
      </c>
      <c r="F48" s="3">
        <v>0.25</v>
      </c>
      <c r="G48" s="4">
        <v>0.30277777777777776</v>
      </c>
      <c r="H48" s="5" t="s">
        <v>19</v>
      </c>
      <c r="I48" t="s">
        <v>26</v>
      </c>
      <c r="J48" t="s">
        <v>24</v>
      </c>
      <c r="K48" t="s">
        <v>22</v>
      </c>
      <c r="L48" t="s">
        <v>23</v>
      </c>
      <c r="M48" t="s">
        <v>24</v>
      </c>
      <c r="N48">
        <f>IF(Table1[[#This Row],[Akhir]]&lt;Table1[[#This Row],[Awal]],(Table1[[#This Row],[Akhir]]+1)-Table1[[#This Row],[Awal]],Table1[[#This Row],[Akhir]]-Table1[[#This Row],[Awal]])*24</f>
        <v>1.2666666666666662</v>
      </c>
      <c r="O48" t="str">
        <f>IF(Table1[[#This Row],[Duration Real]]&gt;=6,"Major",
IF(Table1[[#This Row],[Duration Real]]&gt;=2,"Medium","Minor"))</f>
        <v>Minor</v>
      </c>
    </row>
    <row r="49" spans="1:15" x14ac:dyDescent="0.35">
      <c r="A49" s="2">
        <v>46145</v>
      </c>
      <c r="B49" t="s">
        <v>15</v>
      </c>
      <c r="C49" t="s">
        <v>28</v>
      </c>
      <c r="D49" t="s">
        <v>124</v>
      </c>
      <c r="E49" t="s">
        <v>125</v>
      </c>
      <c r="F49" s="3">
        <v>0.75</v>
      </c>
      <c r="G49" s="4">
        <v>0.77638888888888891</v>
      </c>
      <c r="H49" s="5" t="s">
        <v>19</v>
      </c>
      <c r="I49" t="s">
        <v>20</v>
      </c>
      <c r="J49" t="s">
        <v>126</v>
      </c>
      <c r="K49" t="s">
        <v>39</v>
      </c>
      <c r="L49" t="s">
        <v>127</v>
      </c>
      <c r="M49" t="s">
        <v>24</v>
      </c>
      <c r="N49">
        <f>IF(Table1[[#This Row],[Akhir]]&lt;Table1[[#This Row],[Awal]],(Table1[[#This Row],[Akhir]]+1)-Table1[[#This Row],[Awal]],Table1[[#This Row],[Akhir]]-Table1[[#This Row],[Awal]])*24</f>
        <v>0.63333333333333375</v>
      </c>
      <c r="O49" t="str">
        <f>IF(Table1[[#This Row],[Duration Real]]&gt;=6,"Major",
IF(Table1[[#This Row],[Duration Real]]&gt;=2,"Medium","Minor"))</f>
        <v>Minor</v>
      </c>
    </row>
    <row r="50" spans="1:15" x14ac:dyDescent="0.35">
      <c r="A50" s="2">
        <v>46145</v>
      </c>
      <c r="B50" t="s">
        <v>15</v>
      </c>
      <c r="C50" t="s">
        <v>32</v>
      </c>
      <c r="D50" t="s">
        <v>33</v>
      </c>
      <c r="E50" t="s">
        <v>34</v>
      </c>
      <c r="F50" s="3">
        <v>0.25</v>
      </c>
      <c r="G50" s="4">
        <v>0.75</v>
      </c>
      <c r="H50" s="5" t="s">
        <v>19</v>
      </c>
      <c r="I50" t="s">
        <v>26</v>
      </c>
      <c r="J50" t="s">
        <v>24</v>
      </c>
      <c r="K50" t="s">
        <v>22</v>
      </c>
      <c r="L50" t="s">
        <v>35</v>
      </c>
      <c r="M50" t="s">
        <v>24</v>
      </c>
      <c r="N50">
        <f>IF(Table1[[#This Row],[Akhir]]&lt;Table1[[#This Row],[Awal]],(Table1[[#This Row],[Akhir]]+1)-Table1[[#This Row],[Awal]],Table1[[#This Row],[Akhir]]-Table1[[#This Row],[Awal]])*24</f>
        <v>12</v>
      </c>
      <c r="O50" t="str">
        <f>IF(Table1[[#This Row],[Duration Real]]&gt;=6,"Major",
IF(Table1[[#This Row],[Duration Real]]&gt;=2,"Medium","Minor"))</f>
        <v>Major</v>
      </c>
    </row>
    <row r="51" spans="1:15" x14ac:dyDescent="0.35">
      <c r="A51" s="2">
        <v>46145</v>
      </c>
      <c r="B51" t="s">
        <v>15</v>
      </c>
      <c r="C51" t="s">
        <v>32</v>
      </c>
      <c r="D51" t="s">
        <v>33</v>
      </c>
      <c r="E51" t="s">
        <v>34</v>
      </c>
      <c r="F51" s="3">
        <v>0.75</v>
      </c>
      <c r="G51" s="4">
        <v>0.25</v>
      </c>
      <c r="H51" s="5" t="s">
        <v>19</v>
      </c>
      <c r="I51" t="s">
        <v>20</v>
      </c>
      <c r="J51" t="s">
        <v>24</v>
      </c>
      <c r="K51" t="s">
        <v>22</v>
      </c>
      <c r="L51" t="s">
        <v>35</v>
      </c>
      <c r="M51" t="s">
        <v>24</v>
      </c>
      <c r="N51">
        <f>IF(Table1[[#This Row],[Akhir]]&lt;Table1[[#This Row],[Awal]],(Table1[[#This Row],[Akhir]]+1)-Table1[[#This Row],[Awal]],Table1[[#This Row],[Akhir]]-Table1[[#This Row],[Awal]])*24</f>
        <v>12</v>
      </c>
      <c r="O51" t="str">
        <f>IF(Table1[[#This Row],[Duration Real]]&gt;=6,"Major",
IF(Table1[[#This Row],[Duration Real]]&gt;=2,"Medium","Minor"))</f>
        <v>Major</v>
      </c>
    </row>
    <row r="52" spans="1:15" x14ac:dyDescent="0.35">
      <c r="A52" s="2">
        <v>46145</v>
      </c>
      <c r="B52" t="s">
        <v>15</v>
      </c>
      <c r="C52" t="s">
        <v>36</v>
      </c>
      <c r="D52" t="s">
        <v>61</v>
      </c>
      <c r="E52" t="s">
        <v>128</v>
      </c>
      <c r="F52" s="3">
        <v>0.19791666666666666</v>
      </c>
      <c r="G52" s="4">
        <v>0.25</v>
      </c>
      <c r="H52" s="5" t="s">
        <v>19</v>
      </c>
      <c r="I52" t="s">
        <v>20</v>
      </c>
      <c r="J52" t="s">
        <v>129</v>
      </c>
      <c r="K52" t="s">
        <v>22</v>
      </c>
      <c r="L52" t="s">
        <v>130</v>
      </c>
      <c r="M52" t="s">
        <v>24</v>
      </c>
      <c r="N52">
        <f>IF(Table1[[#This Row],[Akhir]]&lt;Table1[[#This Row],[Awal]],(Table1[[#This Row],[Akhir]]+1)-Table1[[#This Row],[Awal]],Table1[[#This Row],[Akhir]]-Table1[[#This Row],[Awal]])*24</f>
        <v>1.2500000000000002</v>
      </c>
      <c r="O52" t="str">
        <f>IF(Table1[[#This Row],[Duration Real]]&gt;=6,"Major",
IF(Table1[[#This Row],[Duration Real]]&gt;=2,"Medium","Minor"))</f>
        <v>Minor</v>
      </c>
    </row>
    <row r="53" spans="1:15" x14ac:dyDescent="0.35">
      <c r="A53" s="2">
        <v>46145</v>
      </c>
      <c r="B53" t="s">
        <v>15</v>
      </c>
      <c r="C53" t="s">
        <v>41</v>
      </c>
      <c r="D53" t="s">
        <v>42</v>
      </c>
      <c r="E53" t="s">
        <v>34</v>
      </c>
      <c r="F53" s="3">
        <v>0.25</v>
      </c>
      <c r="G53" s="4">
        <v>0.75</v>
      </c>
      <c r="H53" s="5" t="s">
        <v>19</v>
      </c>
      <c r="I53" t="s">
        <v>26</v>
      </c>
      <c r="J53" t="s">
        <v>24</v>
      </c>
      <c r="K53" t="s">
        <v>39</v>
      </c>
      <c r="L53" t="s">
        <v>43</v>
      </c>
      <c r="M53" t="s">
        <v>24</v>
      </c>
      <c r="N53">
        <f>IF(Table1[[#This Row],[Akhir]]&lt;Table1[[#This Row],[Awal]],(Table1[[#This Row],[Akhir]]+1)-Table1[[#This Row],[Awal]],Table1[[#This Row],[Akhir]]-Table1[[#This Row],[Awal]])*24</f>
        <v>12</v>
      </c>
      <c r="O53" t="str">
        <f>IF(Table1[[#This Row],[Duration Real]]&gt;=6,"Major",
IF(Table1[[#This Row],[Duration Real]]&gt;=2,"Medium","Minor"))</f>
        <v>Major</v>
      </c>
    </row>
    <row r="54" spans="1:15" x14ac:dyDescent="0.35">
      <c r="A54" s="2">
        <v>46145</v>
      </c>
      <c r="B54" t="s">
        <v>15</v>
      </c>
      <c r="C54" t="s">
        <v>41</v>
      </c>
      <c r="D54" t="s">
        <v>42</v>
      </c>
      <c r="E54" t="s">
        <v>34</v>
      </c>
      <c r="F54" s="3">
        <v>0.75</v>
      </c>
      <c r="G54" s="4">
        <v>0.25</v>
      </c>
      <c r="H54" s="5" t="s">
        <v>19</v>
      </c>
      <c r="I54" t="s">
        <v>20</v>
      </c>
      <c r="J54" t="s">
        <v>24</v>
      </c>
      <c r="K54" t="s">
        <v>39</v>
      </c>
      <c r="L54" t="s">
        <v>43</v>
      </c>
      <c r="M54" t="s">
        <v>24</v>
      </c>
      <c r="N54">
        <f>IF(Table1[[#This Row],[Akhir]]&lt;Table1[[#This Row],[Awal]],(Table1[[#This Row],[Akhir]]+1)-Table1[[#This Row],[Awal]],Table1[[#This Row],[Akhir]]-Table1[[#This Row],[Awal]])*24</f>
        <v>12</v>
      </c>
      <c r="O54" t="str">
        <f>IF(Table1[[#This Row],[Duration Real]]&gt;=6,"Major",
IF(Table1[[#This Row],[Duration Real]]&gt;=2,"Medium","Minor"))</f>
        <v>Major</v>
      </c>
    </row>
    <row r="55" spans="1:15" x14ac:dyDescent="0.35">
      <c r="A55" s="2">
        <v>46145</v>
      </c>
      <c r="B55" t="s">
        <v>15</v>
      </c>
      <c r="C55" t="s">
        <v>131</v>
      </c>
      <c r="D55" t="s">
        <v>132</v>
      </c>
      <c r="E55" t="s">
        <v>133</v>
      </c>
      <c r="F55" s="3">
        <v>0.17499999999999999</v>
      </c>
      <c r="G55" s="4">
        <v>0.25</v>
      </c>
      <c r="H55" s="5" t="s">
        <v>19</v>
      </c>
      <c r="I55" t="s">
        <v>20</v>
      </c>
      <c r="J55" t="s">
        <v>24</v>
      </c>
      <c r="K55" t="s">
        <v>22</v>
      </c>
      <c r="L55" t="s">
        <v>134</v>
      </c>
      <c r="M55" t="s">
        <v>24</v>
      </c>
      <c r="N55">
        <f>IF(Table1[[#This Row],[Akhir]]&lt;Table1[[#This Row],[Awal]],(Table1[[#This Row],[Akhir]]+1)-Table1[[#This Row],[Awal]],Table1[[#This Row],[Akhir]]-Table1[[#This Row],[Awal]])*24</f>
        <v>1.8000000000000003</v>
      </c>
      <c r="O55" t="str">
        <f>IF(Table1[[#This Row],[Duration Real]]&gt;=6,"Major",
IF(Table1[[#This Row],[Duration Real]]&gt;=2,"Medium","Minor"))</f>
        <v>Minor</v>
      </c>
    </row>
    <row r="56" spans="1:15" x14ac:dyDescent="0.35">
      <c r="A56" s="2">
        <v>46145</v>
      </c>
      <c r="B56" t="s">
        <v>15</v>
      </c>
      <c r="C56" t="s">
        <v>44</v>
      </c>
      <c r="D56" t="s">
        <v>45</v>
      </c>
      <c r="E56" t="s">
        <v>34</v>
      </c>
      <c r="F56" s="3">
        <v>0.25</v>
      </c>
      <c r="G56" s="4">
        <v>0.75</v>
      </c>
      <c r="H56" s="5" t="s">
        <v>19</v>
      </c>
      <c r="I56" t="s">
        <v>26</v>
      </c>
      <c r="J56" t="s">
        <v>24</v>
      </c>
      <c r="K56" t="s">
        <v>46</v>
      </c>
      <c r="L56" t="s">
        <v>47</v>
      </c>
      <c r="M56" t="s">
        <v>24</v>
      </c>
      <c r="N56">
        <f>IF(Table1[[#This Row],[Akhir]]&lt;Table1[[#This Row],[Awal]],(Table1[[#This Row],[Akhir]]+1)-Table1[[#This Row],[Awal]],Table1[[#This Row],[Akhir]]-Table1[[#This Row],[Awal]])*24</f>
        <v>12</v>
      </c>
      <c r="O56" t="str">
        <f>IF(Table1[[#This Row],[Duration Real]]&gt;=6,"Major",
IF(Table1[[#This Row],[Duration Real]]&gt;=2,"Medium","Minor"))</f>
        <v>Major</v>
      </c>
    </row>
    <row r="57" spans="1:15" x14ac:dyDescent="0.35">
      <c r="A57" s="2">
        <v>46145</v>
      </c>
      <c r="B57" t="s">
        <v>15</v>
      </c>
      <c r="C57" t="s">
        <v>44</v>
      </c>
      <c r="D57" t="s">
        <v>45</v>
      </c>
      <c r="E57" t="s">
        <v>34</v>
      </c>
      <c r="F57" s="3">
        <v>0.75</v>
      </c>
      <c r="G57" s="4">
        <v>0.25</v>
      </c>
      <c r="H57" s="5" t="s">
        <v>19</v>
      </c>
      <c r="I57" t="s">
        <v>20</v>
      </c>
      <c r="J57" t="s">
        <v>24</v>
      </c>
      <c r="K57" t="s">
        <v>46</v>
      </c>
      <c r="L57" t="s">
        <v>47</v>
      </c>
      <c r="M57" t="s">
        <v>24</v>
      </c>
      <c r="N57">
        <f>IF(Table1[[#This Row],[Akhir]]&lt;Table1[[#This Row],[Awal]],(Table1[[#This Row],[Akhir]]+1)-Table1[[#This Row],[Awal]],Table1[[#This Row],[Akhir]]-Table1[[#This Row],[Awal]])*24</f>
        <v>12</v>
      </c>
      <c r="O57" t="str">
        <f>IF(Table1[[#This Row],[Duration Real]]&gt;=6,"Major",
IF(Table1[[#This Row],[Duration Real]]&gt;=2,"Medium","Minor"))</f>
        <v>Major</v>
      </c>
    </row>
    <row r="58" spans="1:15" x14ac:dyDescent="0.35">
      <c r="A58" s="2">
        <v>46145</v>
      </c>
      <c r="B58" t="s">
        <v>15</v>
      </c>
      <c r="C58" t="s">
        <v>48</v>
      </c>
      <c r="D58" t="s">
        <v>135</v>
      </c>
      <c r="E58" t="s">
        <v>136</v>
      </c>
      <c r="F58" s="3">
        <v>7.6388888888888895E-2</v>
      </c>
      <c r="G58" s="4">
        <v>0.25</v>
      </c>
      <c r="H58" s="5" t="s">
        <v>19</v>
      </c>
      <c r="I58" t="s">
        <v>20</v>
      </c>
      <c r="J58" t="s">
        <v>24</v>
      </c>
      <c r="K58" t="s">
        <v>107</v>
      </c>
      <c r="L58" t="s">
        <v>51</v>
      </c>
      <c r="M58" t="s">
        <v>24</v>
      </c>
      <c r="N58">
        <f>IF(Table1[[#This Row],[Akhir]]&lt;Table1[[#This Row],[Awal]],(Table1[[#This Row],[Akhir]]+1)-Table1[[#This Row],[Awal]],Table1[[#This Row],[Akhir]]-Table1[[#This Row],[Awal]])*24</f>
        <v>4.1666666666666661</v>
      </c>
      <c r="O58" t="str">
        <f>IF(Table1[[#This Row],[Duration Real]]&gt;=6,"Major",
IF(Table1[[#This Row],[Duration Real]]&gt;=2,"Medium","Minor"))</f>
        <v>Medium</v>
      </c>
    </row>
    <row r="59" spans="1:15" x14ac:dyDescent="0.35">
      <c r="A59" s="2">
        <v>46145</v>
      </c>
      <c r="B59" t="s">
        <v>15</v>
      </c>
      <c r="C59" t="s">
        <v>48</v>
      </c>
      <c r="D59" t="s">
        <v>49</v>
      </c>
      <c r="E59" t="s">
        <v>137</v>
      </c>
      <c r="F59" s="3">
        <v>0.31527777777777777</v>
      </c>
      <c r="G59" s="4">
        <v>0.43472222222222223</v>
      </c>
      <c r="H59" s="5" t="s">
        <v>19</v>
      </c>
      <c r="I59" t="s">
        <v>26</v>
      </c>
      <c r="J59" t="s">
        <v>138</v>
      </c>
      <c r="K59" t="s">
        <v>22</v>
      </c>
      <c r="L59" t="s">
        <v>51</v>
      </c>
      <c r="M59" t="s">
        <v>24</v>
      </c>
      <c r="N59">
        <f>IF(Table1[[#This Row],[Akhir]]&lt;Table1[[#This Row],[Awal]],(Table1[[#This Row],[Akhir]]+1)-Table1[[#This Row],[Awal]],Table1[[#This Row],[Akhir]]-Table1[[#This Row],[Awal]])*24</f>
        <v>2.8666666666666671</v>
      </c>
      <c r="O59" t="str">
        <f>IF(Table1[[#This Row],[Duration Real]]&gt;=6,"Major",
IF(Table1[[#This Row],[Duration Real]]&gt;=2,"Medium","Minor"))</f>
        <v>Medium</v>
      </c>
    </row>
    <row r="60" spans="1:15" x14ac:dyDescent="0.35">
      <c r="A60" s="2">
        <v>46145</v>
      </c>
      <c r="B60" t="s">
        <v>15</v>
      </c>
      <c r="C60" t="s">
        <v>52</v>
      </c>
      <c r="D60" t="s">
        <v>139</v>
      </c>
      <c r="E60" t="s">
        <v>140</v>
      </c>
      <c r="F60" s="3">
        <v>4.1666666666666664E-2</v>
      </c>
      <c r="G60" s="4">
        <v>7.9861111111111105E-2</v>
      </c>
      <c r="H60" s="5" t="s">
        <v>19</v>
      </c>
      <c r="I60" t="s">
        <v>20</v>
      </c>
      <c r="J60" t="s">
        <v>24</v>
      </c>
      <c r="K60" t="s">
        <v>39</v>
      </c>
      <c r="L60" t="s">
        <v>43</v>
      </c>
      <c r="M60" t="s">
        <v>24</v>
      </c>
      <c r="N60">
        <f>IF(Table1[[#This Row],[Akhir]]&lt;Table1[[#This Row],[Awal]],(Table1[[#This Row],[Akhir]]+1)-Table1[[#This Row],[Awal]],Table1[[#This Row],[Akhir]]-Table1[[#This Row],[Awal]])*24</f>
        <v>0.91666666666666652</v>
      </c>
      <c r="O60" t="str">
        <f>IF(Table1[[#This Row],[Duration Real]]&gt;=6,"Major",
IF(Table1[[#This Row],[Duration Real]]&gt;=2,"Medium","Minor"))</f>
        <v>Minor</v>
      </c>
    </row>
    <row r="61" spans="1:15" x14ac:dyDescent="0.35">
      <c r="A61" s="2">
        <v>46145</v>
      </c>
      <c r="B61" t="s">
        <v>15</v>
      </c>
      <c r="C61" t="s">
        <v>52</v>
      </c>
      <c r="D61" t="s">
        <v>141</v>
      </c>
      <c r="E61" t="s">
        <v>142</v>
      </c>
      <c r="F61" s="3">
        <v>0.37777777777777777</v>
      </c>
      <c r="G61" s="4">
        <v>0.56041666666666667</v>
      </c>
      <c r="H61" s="5" t="s">
        <v>19</v>
      </c>
      <c r="I61" t="s">
        <v>26</v>
      </c>
      <c r="J61" t="s">
        <v>24</v>
      </c>
      <c r="K61" t="s">
        <v>22</v>
      </c>
      <c r="L61" t="s">
        <v>143</v>
      </c>
      <c r="M61" t="s">
        <v>24</v>
      </c>
      <c r="N61">
        <f>IF(Table1[[#This Row],[Akhir]]&lt;Table1[[#This Row],[Awal]],(Table1[[#This Row],[Akhir]]+1)-Table1[[#This Row],[Awal]],Table1[[#This Row],[Akhir]]-Table1[[#This Row],[Awal]])*24</f>
        <v>4.3833333333333337</v>
      </c>
      <c r="O61" t="str">
        <f>IF(Table1[[#This Row],[Duration Real]]&gt;=6,"Major",
IF(Table1[[#This Row],[Duration Real]]&gt;=2,"Medium","Minor"))</f>
        <v>Medium</v>
      </c>
    </row>
    <row r="62" spans="1:15" x14ac:dyDescent="0.35">
      <c r="A62" s="2">
        <v>46145</v>
      </c>
      <c r="B62" t="s">
        <v>15</v>
      </c>
      <c r="C62" t="s">
        <v>76</v>
      </c>
      <c r="D62" t="s">
        <v>49</v>
      </c>
      <c r="E62" t="s">
        <v>144</v>
      </c>
      <c r="F62" s="3">
        <v>0.11666666666666667</v>
      </c>
      <c r="G62" s="4">
        <v>0.15972222222222221</v>
      </c>
      <c r="H62" s="5" t="s">
        <v>19</v>
      </c>
      <c r="I62" t="s">
        <v>20</v>
      </c>
      <c r="J62" t="s">
        <v>24</v>
      </c>
      <c r="K62" t="s">
        <v>83</v>
      </c>
      <c r="L62" t="s">
        <v>145</v>
      </c>
      <c r="M62" t="s">
        <v>24</v>
      </c>
      <c r="N62">
        <f>IF(Table1[[#This Row],[Akhir]]&lt;Table1[[#This Row],[Awal]],(Table1[[#This Row],[Akhir]]+1)-Table1[[#This Row],[Awal]],Table1[[#This Row],[Akhir]]-Table1[[#This Row],[Awal]])*24</f>
        <v>1.033333333333333</v>
      </c>
      <c r="O62" t="str">
        <f>IF(Table1[[#This Row],[Duration Real]]&gt;=6,"Major",
IF(Table1[[#This Row],[Duration Real]]&gt;=2,"Medium","Minor"))</f>
        <v>Minor</v>
      </c>
    </row>
    <row r="63" spans="1:15" x14ac:dyDescent="0.35">
      <c r="A63" s="2">
        <v>46145</v>
      </c>
      <c r="B63" t="s">
        <v>15</v>
      </c>
      <c r="C63" t="s">
        <v>85</v>
      </c>
      <c r="D63" t="s">
        <v>86</v>
      </c>
      <c r="E63" t="s">
        <v>34</v>
      </c>
      <c r="F63" s="3">
        <v>0.25</v>
      </c>
      <c r="G63" s="4">
        <v>0.75</v>
      </c>
      <c r="H63" s="5" t="s">
        <v>19</v>
      </c>
      <c r="I63" t="s">
        <v>26</v>
      </c>
      <c r="J63" t="s">
        <v>24</v>
      </c>
      <c r="K63" t="s">
        <v>22</v>
      </c>
      <c r="L63" t="s">
        <v>87</v>
      </c>
      <c r="M63" t="s">
        <v>24</v>
      </c>
      <c r="N63">
        <f>IF(Table1[[#This Row],[Akhir]]&lt;Table1[[#This Row],[Awal]],(Table1[[#This Row],[Akhir]]+1)-Table1[[#This Row],[Awal]],Table1[[#This Row],[Akhir]]-Table1[[#This Row],[Awal]])*24</f>
        <v>12</v>
      </c>
      <c r="O63" t="str">
        <f>IF(Table1[[#This Row],[Duration Real]]&gt;=6,"Major",
IF(Table1[[#This Row],[Duration Real]]&gt;=2,"Medium","Minor"))</f>
        <v>Major</v>
      </c>
    </row>
    <row r="64" spans="1:15" x14ac:dyDescent="0.35">
      <c r="A64" s="2">
        <v>46145</v>
      </c>
      <c r="B64" t="s">
        <v>15</v>
      </c>
      <c r="C64" t="s">
        <v>85</v>
      </c>
      <c r="D64" t="s">
        <v>86</v>
      </c>
      <c r="E64" t="s">
        <v>34</v>
      </c>
      <c r="F64" s="3">
        <v>0.75</v>
      </c>
      <c r="G64" s="4">
        <v>0.25</v>
      </c>
      <c r="H64" s="5" t="s">
        <v>19</v>
      </c>
      <c r="I64" t="s">
        <v>20</v>
      </c>
      <c r="J64" t="s">
        <v>24</v>
      </c>
      <c r="K64" t="s">
        <v>22</v>
      </c>
      <c r="L64" t="s">
        <v>87</v>
      </c>
      <c r="M64" t="s">
        <v>24</v>
      </c>
      <c r="N64">
        <f>IF(Table1[[#This Row],[Akhir]]&lt;Table1[[#This Row],[Awal]],(Table1[[#This Row],[Akhir]]+1)-Table1[[#This Row],[Awal]],Table1[[#This Row],[Akhir]]-Table1[[#This Row],[Awal]])*24</f>
        <v>12</v>
      </c>
      <c r="O64" t="str">
        <f>IF(Table1[[#This Row],[Duration Real]]&gt;=6,"Major",
IF(Table1[[#This Row],[Duration Real]]&gt;=2,"Medium","Minor"))</f>
        <v>Major</v>
      </c>
    </row>
    <row r="65" spans="1:15" x14ac:dyDescent="0.35">
      <c r="A65" s="2">
        <v>46145</v>
      </c>
      <c r="B65" t="s">
        <v>15</v>
      </c>
      <c r="C65" t="s">
        <v>88</v>
      </c>
      <c r="D65" t="s">
        <v>89</v>
      </c>
      <c r="E65" t="s">
        <v>146</v>
      </c>
      <c r="F65" s="3">
        <v>0.18611111111111112</v>
      </c>
      <c r="G65" s="4">
        <v>0.25</v>
      </c>
      <c r="H65" s="5" t="s">
        <v>19</v>
      </c>
      <c r="I65" t="s">
        <v>20</v>
      </c>
      <c r="J65" t="s">
        <v>24</v>
      </c>
      <c r="K65" t="s">
        <v>39</v>
      </c>
      <c r="L65" t="s">
        <v>43</v>
      </c>
      <c r="M65" t="s">
        <v>24</v>
      </c>
      <c r="N65">
        <f>IF(Table1[[#This Row],[Akhir]]&lt;Table1[[#This Row],[Awal]],(Table1[[#This Row],[Akhir]]+1)-Table1[[#This Row],[Awal]],Table1[[#This Row],[Akhir]]-Table1[[#This Row],[Awal]])*24</f>
        <v>1.5333333333333332</v>
      </c>
      <c r="O65" t="str">
        <f>IF(Table1[[#This Row],[Duration Real]]&gt;=6,"Major",
IF(Table1[[#This Row],[Duration Real]]&gt;=2,"Medium","Minor"))</f>
        <v>Minor</v>
      </c>
    </row>
    <row r="66" spans="1:15" x14ac:dyDescent="0.35">
      <c r="A66" s="2">
        <v>46145</v>
      </c>
      <c r="B66" t="s">
        <v>15</v>
      </c>
      <c r="C66" t="s">
        <v>88</v>
      </c>
      <c r="D66" t="s">
        <v>89</v>
      </c>
      <c r="E66" t="s">
        <v>147</v>
      </c>
      <c r="F66" s="3">
        <v>0.96805555555555556</v>
      </c>
      <c r="G66" s="4">
        <v>7.9861111111111105E-2</v>
      </c>
      <c r="H66" s="5" t="s">
        <v>19</v>
      </c>
      <c r="I66" t="s">
        <v>20</v>
      </c>
      <c r="J66" t="s">
        <v>24</v>
      </c>
      <c r="K66" t="s">
        <v>39</v>
      </c>
      <c r="L66" t="s">
        <v>43</v>
      </c>
      <c r="M66" t="s">
        <v>24</v>
      </c>
      <c r="N66">
        <f>IF(Table1[[#This Row],[Akhir]]&lt;Table1[[#This Row],[Awal]],(Table1[[#This Row],[Akhir]]+1)-Table1[[#This Row],[Awal]],Table1[[#This Row],[Akhir]]-Table1[[#This Row],[Awal]])*24</f>
        <v>2.6833333333333345</v>
      </c>
      <c r="O66" t="str">
        <f>IF(Table1[[#This Row],[Duration Real]]&gt;=6,"Major",
IF(Table1[[#This Row],[Duration Real]]&gt;=2,"Medium","Minor"))</f>
        <v>Medium</v>
      </c>
    </row>
    <row r="67" spans="1:15" x14ac:dyDescent="0.35">
      <c r="A67" s="2">
        <v>46145</v>
      </c>
      <c r="B67" t="s">
        <v>15</v>
      </c>
      <c r="C67" t="s">
        <v>88</v>
      </c>
      <c r="D67" t="s">
        <v>148</v>
      </c>
      <c r="E67" t="s">
        <v>149</v>
      </c>
      <c r="F67" s="3">
        <v>0.41249999999999998</v>
      </c>
      <c r="G67" s="4">
        <v>0.63541666666666663</v>
      </c>
      <c r="H67" s="5" t="s">
        <v>19</v>
      </c>
      <c r="I67" t="s">
        <v>26</v>
      </c>
      <c r="J67" t="s">
        <v>24</v>
      </c>
      <c r="K67" t="s">
        <v>22</v>
      </c>
      <c r="L67" t="s">
        <v>150</v>
      </c>
      <c r="M67" t="s">
        <v>24</v>
      </c>
      <c r="N67">
        <f>IF(Table1[[#This Row],[Akhir]]&lt;Table1[[#This Row],[Awal]],(Table1[[#This Row],[Akhir]]+1)-Table1[[#This Row],[Awal]],Table1[[#This Row],[Akhir]]-Table1[[#This Row],[Awal]])*24</f>
        <v>5.35</v>
      </c>
      <c r="O67" t="str">
        <f>IF(Table1[[#This Row],[Duration Real]]&gt;=6,"Major",
IF(Table1[[#This Row],[Duration Real]]&gt;=2,"Medium","Minor"))</f>
        <v>Medium</v>
      </c>
    </row>
    <row r="68" spans="1:15" x14ac:dyDescent="0.35">
      <c r="A68" s="2">
        <v>46145</v>
      </c>
      <c r="B68" t="s">
        <v>15</v>
      </c>
      <c r="C68" t="s">
        <v>118</v>
      </c>
      <c r="D68" t="s">
        <v>151</v>
      </c>
      <c r="E68" t="s">
        <v>152</v>
      </c>
      <c r="F68" s="3">
        <v>0.75</v>
      </c>
      <c r="G68" s="4">
        <v>0.85416666666666663</v>
      </c>
      <c r="H68" s="5" t="s">
        <v>19</v>
      </c>
      <c r="I68" t="s">
        <v>20</v>
      </c>
      <c r="J68" t="s">
        <v>153</v>
      </c>
      <c r="K68" t="s">
        <v>22</v>
      </c>
      <c r="L68" t="s">
        <v>23</v>
      </c>
      <c r="M68" t="s">
        <v>24</v>
      </c>
      <c r="N68">
        <f>IF(Table1[[#This Row],[Akhir]]&lt;Table1[[#This Row],[Awal]],(Table1[[#This Row],[Akhir]]+1)-Table1[[#This Row],[Awal]],Table1[[#This Row],[Akhir]]-Table1[[#This Row],[Awal]])*24</f>
        <v>2.4999999999999991</v>
      </c>
      <c r="O68" t="str">
        <f>IF(Table1[[#This Row],[Duration Real]]&gt;=6,"Major",
IF(Table1[[#This Row],[Duration Real]]&gt;=2,"Medium","Minor"))</f>
        <v>Medium</v>
      </c>
    </row>
    <row r="69" spans="1:15" x14ac:dyDescent="0.35">
      <c r="A69" s="2">
        <v>46145</v>
      </c>
      <c r="B69" t="s">
        <v>15</v>
      </c>
      <c r="C69" t="s">
        <v>118</v>
      </c>
      <c r="D69" t="s">
        <v>151</v>
      </c>
      <c r="E69" t="s">
        <v>154</v>
      </c>
      <c r="F69" s="3">
        <v>0.4465277777777778</v>
      </c>
      <c r="G69" s="4">
        <v>0.75</v>
      </c>
      <c r="H69" s="5" t="s">
        <v>19</v>
      </c>
      <c r="I69" t="s">
        <v>26</v>
      </c>
      <c r="J69" t="s">
        <v>153</v>
      </c>
      <c r="K69" t="s">
        <v>22</v>
      </c>
      <c r="L69" t="s">
        <v>23</v>
      </c>
      <c r="M69" t="s">
        <v>24</v>
      </c>
      <c r="N69">
        <f>IF(Table1[[#This Row],[Akhir]]&lt;Table1[[#This Row],[Awal]],(Table1[[#This Row],[Akhir]]+1)-Table1[[#This Row],[Awal]],Table1[[#This Row],[Akhir]]-Table1[[#This Row],[Awal]])*24</f>
        <v>7.2833333333333332</v>
      </c>
      <c r="O69" t="str">
        <f>IF(Table1[[#This Row],[Duration Real]]&gt;=6,"Major",
IF(Table1[[#This Row],[Duration Real]]&gt;=2,"Medium","Minor"))</f>
        <v>Major</v>
      </c>
    </row>
    <row r="70" spans="1:15" x14ac:dyDescent="0.35">
      <c r="A70" s="2">
        <v>46145</v>
      </c>
      <c r="B70" t="s">
        <v>94</v>
      </c>
      <c r="C70" t="s">
        <v>95</v>
      </c>
      <c r="D70" t="s">
        <v>155</v>
      </c>
      <c r="E70" t="s">
        <v>156</v>
      </c>
      <c r="F70" s="3">
        <v>0.25</v>
      </c>
      <c r="G70" s="4">
        <v>0.43472222222222223</v>
      </c>
      <c r="H70" s="5" t="s">
        <v>19</v>
      </c>
      <c r="I70" t="s">
        <v>26</v>
      </c>
      <c r="J70" t="s">
        <v>24</v>
      </c>
      <c r="K70" t="s">
        <v>22</v>
      </c>
      <c r="L70" t="s">
        <v>150</v>
      </c>
      <c r="M70" t="s">
        <v>24</v>
      </c>
      <c r="N70">
        <f>IF(Table1[[#This Row],[Akhir]]&lt;Table1[[#This Row],[Awal]],(Table1[[#This Row],[Akhir]]+1)-Table1[[#This Row],[Awal]],Table1[[#This Row],[Akhir]]-Table1[[#This Row],[Awal]])*24</f>
        <v>4.4333333333333336</v>
      </c>
      <c r="O70" t="str">
        <f>IF(Table1[[#This Row],[Duration Real]]&gt;=6,"Major",
IF(Table1[[#This Row],[Duration Real]]&gt;=2,"Medium","Minor"))</f>
        <v>Medium</v>
      </c>
    </row>
    <row r="71" spans="1:15" x14ac:dyDescent="0.35">
      <c r="A71" s="2">
        <v>46145</v>
      </c>
      <c r="B71" t="s">
        <v>94</v>
      </c>
      <c r="C71" t="s">
        <v>95</v>
      </c>
      <c r="D71" t="s">
        <v>157</v>
      </c>
      <c r="E71" t="s">
        <v>66</v>
      </c>
      <c r="F71" s="3">
        <v>0.45902777777777776</v>
      </c>
      <c r="G71" s="4">
        <v>0.59583333333333333</v>
      </c>
      <c r="H71" s="5" t="s">
        <v>19</v>
      </c>
      <c r="I71" t="s">
        <v>26</v>
      </c>
      <c r="J71" t="s">
        <v>24</v>
      </c>
      <c r="K71" t="s">
        <v>22</v>
      </c>
      <c r="L71" t="s">
        <v>40</v>
      </c>
      <c r="M71" t="s">
        <v>24</v>
      </c>
      <c r="N71">
        <f>IF(Table1[[#This Row],[Akhir]]&lt;Table1[[#This Row],[Awal]],(Table1[[#This Row],[Akhir]]+1)-Table1[[#This Row],[Awal]],Table1[[#This Row],[Akhir]]-Table1[[#This Row],[Awal]])*24</f>
        <v>3.2833333333333337</v>
      </c>
      <c r="O71" t="str">
        <f>IF(Table1[[#This Row],[Duration Real]]&gt;=6,"Major",
IF(Table1[[#This Row],[Duration Real]]&gt;=2,"Medium","Minor"))</f>
        <v>Medium</v>
      </c>
    </row>
    <row r="72" spans="1:15" x14ac:dyDescent="0.35">
      <c r="A72" s="2">
        <v>46145</v>
      </c>
      <c r="B72" t="s">
        <v>94</v>
      </c>
      <c r="C72" t="s">
        <v>99</v>
      </c>
      <c r="D72" t="s">
        <v>89</v>
      </c>
      <c r="E72" t="s">
        <v>158</v>
      </c>
      <c r="F72" s="3">
        <v>0.58125000000000004</v>
      </c>
      <c r="G72" s="4">
        <v>0.60902777777777772</v>
      </c>
      <c r="H72" s="5" t="s">
        <v>19</v>
      </c>
      <c r="I72" t="s">
        <v>26</v>
      </c>
      <c r="J72" t="s">
        <v>24</v>
      </c>
      <c r="K72" t="s">
        <v>22</v>
      </c>
      <c r="L72" t="s">
        <v>23</v>
      </c>
      <c r="M72" t="s">
        <v>24</v>
      </c>
      <c r="N72">
        <f>IF(Table1[[#This Row],[Akhir]]&lt;Table1[[#This Row],[Awal]],(Table1[[#This Row],[Akhir]]+1)-Table1[[#This Row],[Awal]],Table1[[#This Row],[Akhir]]-Table1[[#This Row],[Awal]])*24</f>
        <v>0.6666666666666643</v>
      </c>
      <c r="O72" t="str">
        <f>IF(Table1[[#This Row],[Duration Real]]&gt;=6,"Major",
IF(Table1[[#This Row],[Duration Real]]&gt;=2,"Medium","Minor"))</f>
        <v>Minor</v>
      </c>
    </row>
    <row r="73" spans="1:15" x14ac:dyDescent="0.35">
      <c r="A73" s="2">
        <v>46145</v>
      </c>
      <c r="B73" t="s">
        <v>94</v>
      </c>
      <c r="C73" t="s">
        <v>101</v>
      </c>
      <c r="D73" t="s">
        <v>102</v>
      </c>
      <c r="E73" t="s">
        <v>34</v>
      </c>
      <c r="F73" s="3">
        <v>0.25</v>
      </c>
      <c r="G73" s="4">
        <v>0.75</v>
      </c>
      <c r="H73" s="5" t="s">
        <v>19</v>
      </c>
      <c r="I73" t="s">
        <v>26</v>
      </c>
      <c r="J73" t="s">
        <v>24</v>
      </c>
      <c r="K73" t="s">
        <v>22</v>
      </c>
      <c r="L73" t="s">
        <v>23</v>
      </c>
      <c r="M73" t="s">
        <v>24</v>
      </c>
      <c r="N73">
        <f>IF(Table1[[#This Row],[Akhir]]&lt;Table1[[#This Row],[Awal]],(Table1[[#This Row],[Akhir]]+1)-Table1[[#This Row],[Awal]],Table1[[#This Row],[Akhir]]-Table1[[#This Row],[Awal]])*24</f>
        <v>12</v>
      </c>
      <c r="O73" t="str">
        <f>IF(Table1[[#This Row],[Duration Real]]&gt;=6,"Major",
IF(Table1[[#This Row],[Duration Real]]&gt;=2,"Medium","Minor"))</f>
        <v>Major</v>
      </c>
    </row>
    <row r="74" spans="1:15" x14ac:dyDescent="0.35">
      <c r="A74" s="2">
        <v>46145</v>
      </c>
      <c r="B74" t="s">
        <v>94</v>
      </c>
      <c r="C74" t="s">
        <v>101</v>
      </c>
      <c r="D74" t="s">
        <v>102</v>
      </c>
      <c r="E74" t="s">
        <v>34</v>
      </c>
      <c r="F74" s="3">
        <v>0.75</v>
      </c>
      <c r="G74" s="4">
        <v>0.25</v>
      </c>
      <c r="H74" s="5" t="s">
        <v>19</v>
      </c>
      <c r="I74" t="s">
        <v>20</v>
      </c>
      <c r="J74" t="s">
        <v>24</v>
      </c>
      <c r="K74" t="s">
        <v>22</v>
      </c>
      <c r="L74" t="s">
        <v>23</v>
      </c>
      <c r="M74" t="s">
        <v>24</v>
      </c>
      <c r="N74">
        <f>IF(Table1[[#This Row],[Akhir]]&lt;Table1[[#This Row],[Awal]],(Table1[[#This Row],[Akhir]]+1)-Table1[[#This Row],[Awal]],Table1[[#This Row],[Akhir]]-Table1[[#This Row],[Awal]])*24</f>
        <v>12</v>
      </c>
      <c r="O74" t="str">
        <f>IF(Table1[[#This Row],[Duration Real]]&gt;=6,"Major",
IF(Table1[[#This Row],[Duration Real]]&gt;=2,"Medium","Minor"))</f>
        <v>Major</v>
      </c>
    </row>
    <row r="75" spans="1:15" x14ac:dyDescent="0.35">
      <c r="A75" s="2">
        <v>46146</v>
      </c>
      <c r="B75" t="s">
        <v>15</v>
      </c>
      <c r="C75" t="s">
        <v>16</v>
      </c>
      <c r="D75" t="s">
        <v>55</v>
      </c>
      <c r="E75" t="s">
        <v>144</v>
      </c>
      <c r="F75" s="3">
        <v>0.5229166666666667</v>
      </c>
      <c r="G75" s="4">
        <v>0.56597222222222221</v>
      </c>
      <c r="H75" s="5" t="s">
        <v>19</v>
      </c>
      <c r="I75" t="s">
        <v>26</v>
      </c>
      <c r="J75" t="s">
        <v>24</v>
      </c>
      <c r="K75" t="s">
        <v>22</v>
      </c>
      <c r="L75" t="s">
        <v>159</v>
      </c>
      <c r="M75" t="s">
        <v>24</v>
      </c>
      <c r="N75">
        <f>IF(Table1[[#This Row],[Akhir]]&lt;Table1[[#This Row],[Awal]],(Table1[[#This Row],[Akhir]]+1)-Table1[[#This Row],[Awal]],Table1[[#This Row],[Akhir]]-Table1[[#This Row],[Awal]])*24</f>
        <v>1.0333333333333323</v>
      </c>
      <c r="O75" t="str">
        <f>IF(Table1[[#This Row],[Duration Real]]&gt;=6,"Major",
IF(Table1[[#This Row],[Duration Real]]&gt;=2,"Medium","Minor"))</f>
        <v>Minor</v>
      </c>
    </row>
    <row r="76" spans="1:15" x14ac:dyDescent="0.35">
      <c r="A76" s="2">
        <v>46146</v>
      </c>
      <c r="B76" t="s">
        <v>15</v>
      </c>
      <c r="C76" t="s">
        <v>16</v>
      </c>
      <c r="D76" t="s">
        <v>160</v>
      </c>
      <c r="E76" t="s">
        <v>161</v>
      </c>
      <c r="F76" s="3">
        <v>0.14027777777777778</v>
      </c>
      <c r="G76" s="4">
        <v>0.25</v>
      </c>
      <c r="H76" s="5" t="s">
        <v>19</v>
      </c>
      <c r="I76" t="s">
        <v>20</v>
      </c>
      <c r="J76" t="s">
        <v>24</v>
      </c>
      <c r="K76" t="s">
        <v>22</v>
      </c>
      <c r="L76" t="s">
        <v>162</v>
      </c>
      <c r="M76" t="s">
        <v>24</v>
      </c>
      <c r="N76">
        <f>IF(Table1[[#This Row],[Akhir]]&lt;Table1[[#This Row],[Awal]],(Table1[[#This Row],[Akhir]]+1)-Table1[[#This Row],[Awal]],Table1[[#This Row],[Akhir]]-Table1[[#This Row],[Awal]])*24</f>
        <v>2.6333333333333333</v>
      </c>
      <c r="O76" t="str">
        <f>IF(Table1[[#This Row],[Duration Real]]&gt;=6,"Major",
IF(Table1[[#This Row],[Duration Real]]&gt;=2,"Medium","Minor"))</f>
        <v>Medium</v>
      </c>
    </row>
    <row r="77" spans="1:15" x14ac:dyDescent="0.35">
      <c r="A77" s="2">
        <v>46146</v>
      </c>
      <c r="B77" t="s">
        <v>15</v>
      </c>
      <c r="C77" t="s">
        <v>16</v>
      </c>
      <c r="D77" t="s">
        <v>163</v>
      </c>
      <c r="E77" t="s">
        <v>164</v>
      </c>
      <c r="F77" s="3">
        <v>0.6166666666666667</v>
      </c>
      <c r="G77" s="4">
        <v>0.62847222222222221</v>
      </c>
      <c r="H77" s="5" t="s">
        <v>19</v>
      </c>
      <c r="I77" t="s">
        <v>26</v>
      </c>
      <c r="J77" t="s">
        <v>24</v>
      </c>
      <c r="K77" t="s">
        <v>22</v>
      </c>
      <c r="L77" t="s">
        <v>165</v>
      </c>
      <c r="M77" t="s">
        <v>24</v>
      </c>
      <c r="N77">
        <f>IF(Table1[[#This Row],[Akhir]]&lt;Table1[[#This Row],[Awal]],(Table1[[#This Row],[Akhir]]+1)-Table1[[#This Row],[Awal]],Table1[[#This Row],[Akhir]]-Table1[[#This Row],[Awal]])*24</f>
        <v>0.28333333333333233</v>
      </c>
      <c r="O77" t="str">
        <f>IF(Table1[[#This Row],[Duration Real]]&gt;=6,"Major",
IF(Table1[[#This Row],[Duration Real]]&gt;=2,"Medium","Minor"))</f>
        <v>Minor</v>
      </c>
    </row>
    <row r="78" spans="1:15" x14ac:dyDescent="0.35">
      <c r="A78" s="2">
        <v>46146</v>
      </c>
      <c r="B78" t="s">
        <v>15</v>
      </c>
      <c r="C78" t="s">
        <v>16</v>
      </c>
      <c r="D78" t="s">
        <v>166</v>
      </c>
      <c r="E78" t="s">
        <v>167</v>
      </c>
      <c r="F78" s="3">
        <v>0.37361111111111112</v>
      </c>
      <c r="G78" s="4">
        <v>0.41319444444444442</v>
      </c>
      <c r="H78" s="5" t="s">
        <v>19</v>
      </c>
      <c r="I78" t="s">
        <v>26</v>
      </c>
      <c r="J78" t="s">
        <v>24</v>
      </c>
      <c r="K78" t="s">
        <v>22</v>
      </c>
      <c r="L78" t="s">
        <v>23</v>
      </c>
      <c r="M78" t="s">
        <v>24</v>
      </c>
      <c r="N78">
        <f>IF(Table1[[#This Row],[Akhir]]&lt;Table1[[#This Row],[Awal]],(Table1[[#This Row],[Akhir]]+1)-Table1[[#This Row],[Awal]],Table1[[#This Row],[Akhir]]-Table1[[#This Row],[Awal]])*24</f>
        <v>0.94999999999999929</v>
      </c>
      <c r="O78" t="str">
        <f>IF(Table1[[#This Row],[Duration Real]]&gt;=6,"Major",
IF(Table1[[#This Row],[Duration Real]]&gt;=2,"Medium","Minor"))</f>
        <v>Minor</v>
      </c>
    </row>
    <row r="79" spans="1:15" x14ac:dyDescent="0.35">
      <c r="A79" s="2">
        <v>46146</v>
      </c>
      <c r="B79" t="s">
        <v>15</v>
      </c>
      <c r="C79" t="s">
        <v>16</v>
      </c>
      <c r="D79" t="s">
        <v>168</v>
      </c>
      <c r="E79" t="s">
        <v>169</v>
      </c>
      <c r="F79" s="3">
        <v>0.43819444444444444</v>
      </c>
      <c r="G79" s="4">
        <v>0.47499999999999998</v>
      </c>
      <c r="H79" s="5" t="s">
        <v>19</v>
      </c>
      <c r="I79" t="s">
        <v>26</v>
      </c>
      <c r="J79" t="s">
        <v>24</v>
      </c>
      <c r="K79" t="s">
        <v>22</v>
      </c>
      <c r="L79" t="s">
        <v>23</v>
      </c>
      <c r="M79" t="s">
        <v>24</v>
      </c>
      <c r="N79">
        <f>IF(Table1[[#This Row],[Akhir]]&lt;Table1[[#This Row],[Awal]],(Table1[[#This Row],[Akhir]]+1)-Table1[[#This Row],[Awal]],Table1[[#This Row],[Akhir]]-Table1[[#This Row],[Awal]])*24</f>
        <v>0.88333333333333286</v>
      </c>
      <c r="O79" t="str">
        <f>IF(Table1[[#This Row],[Duration Real]]&gt;=6,"Major",
IF(Table1[[#This Row],[Duration Real]]&gt;=2,"Medium","Minor"))</f>
        <v>Minor</v>
      </c>
    </row>
    <row r="80" spans="1:15" x14ac:dyDescent="0.35">
      <c r="A80" s="2">
        <v>46146</v>
      </c>
      <c r="B80" t="s">
        <v>15</v>
      </c>
      <c r="C80" t="s">
        <v>28</v>
      </c>
      <c r="D80" t="s">
        <v>170</v>
      </c>
      <c r="E80" t="s">
        <v>167</v>
      </c>
      <c r="F80" s="3">
        <v>0.7104166666666667</v>
      </c>
      <c r="G80" s="4">
        <v>0.75</v>
      </c>
      <c r="H80" s="5" t="s">
        <v>19</v>
      </c>
      <c r="I80" t="s">
        <v>26</v>
      </c>
      <c r="J80" t="s">
        <v>171</v>
      </c>
      <c r="K80" t="s">
        <v>22</v>
      </c>
      <c r="L80" t="s">
        <v>43</v>
      </c>
      <c r="M80" t="s">
        <v>24</v>
      </c>
      <c r="N80">
        <f>IF(Table1[[#This Row],[Akhir]]&lt;Table1[[#This Row],[Awal]],(Table1[[#This Row],[Akhir]]+1)-Table1[[#This Row],[Awal]],Table1[[#This Row],[Akhir]]-Table1[[#This Row],[Awal]])*24</f>
        <v>0.94999999999999929</v>
      </c>
      <c r="O80" t="str">
        <f>IF(Table1[[#This Row],[Duration Real]]&gt;=6,"Major",
IF(Table1[[#This Row],[Duration Real]]&gt;=2,"Medium","Minor"))</f>
        <v>Minor</v>
      </c>
    </row>
    <row r="81" spans="1:15" x14ac:dyDescent="0.35">
      <c r="A81" s="2">
        <v>46146</v>
      </c>
      <c r="B81" t="s">
        <v>15</v>
      </c>
      <c r="C81" t="s">
        <v>28</v>
      </c>
      <c r="D81" t="s">
        <v>170</v>
      </c>
      <c r="E81" t="s">
        <v>38</v>
      </c>
      <c r="F81" s="3">
        <v>0.75</v>
      </c>
      <c r="G81" s="4">
        <v>0.79166666666666663</v>
      </c>
      <c r="H81" s="5" t="s">
        <v>19</v>
      </c>
      <c r="I81" t="s">
        <v>20</v>
      </c>
      <c r="J81" t="s">
        <v>171</v>
      </c>
      <c r="K81" t="s">
        <v>22</v>
      </c>
      <c r="L81" t="s">
        <v>43</v>
      </c>
      <c r="M81" t="s">
        <v>24</v>
      </c>
      <c r="N81">
        <f>IF(Table1[[#This Row],[Akhir]]&lt;Table1[[#This Row],[Awal]],(Table1[[#This Row],[Akhir]]+1)-Table1[[#This Row],[Awal]],Table1[[#This Row],[Akhir]]-Table1[[#This Row],[Awal]])*24</f>
        <v>0.99999999999999911</v>
      </c>
      <c r="O81" t="str">
        <f>IF(Table1[[#This Row],[Duration Real]]&gt;=6,"Major",
IF(Table1[[#This Row],[Duration Real]]&gt;=2,"Medium","Minor"))</f>
        <v>Minor</v>
      </c>
    </row>
    <row r="82" spans="1:15" x14ac:dyDescent="0.35">
      <c r="A82" s="2">
        <v>46146</v>
      </c>
      <c r="B82" t="s">
        <v>15</v>
      </c>
      <c r="C82" t="s">
        <v>28</v>
      </c>
      <c r="D82" t="s">
        <v>172</v>
      </c>
      <c r="E82" t="s">
        <v>173</v>
      </c>
      <c r="F82" s="3">
        <v>0.60555555555555551</v>
      </c>
      <c r="G82" s="4">
        <v>0.61111111111111116</v>
      </c>
      <c r="H82" s="5" t="s">
        <v>93</v>
      </c>
      <c r="I82" t="s">
        <v>26</v>
      </c>
      <c r="J82" t="s">
        <v>24</v>
      </c>
      <c r="K82" t="s">
        <v>22</v>
      </c>
      <c r="L82" t="s">
        <v>43</v>
      </c>
      <c r="M82" t="s">
        <v>24</v>
      </c>
      <c r="N82">
        <f>IF(Table1[[#This Row],[Akhir]]&lt;Table1[[#This Row],[Awal]],(Table1[[#This Row],[Akhir]]+1)-Table1[[#This Row],[Awal]],Table1[[#This Row],[Akhir]]-Table1[[#This Row],[Awal]])*24</f>
        <v>0.13333333333333552</v>
      </c>
      <c r="O82" t="str">
        <f>IF(Table1[[#This Row],[Duration Real]]&gt;=6,"Major",
IF(Table1[[#This Row],[Duration Real]]&gt;=2,"Medium","Minor"))</f>
        <v>Minor</v>
      </c>
    </row>
    <row r="83" spans="1:15" x14ac:dyDescent="0.35">
      <c r="A83" s="2">
        <v>46146</v>
      </c>
      <c r="B83" t="s">
        <v>15</v>
      </c>
      <c r="C83" t="s">
        <v>32</v>
      </c>
      <c r="D83" t="s">
        <v>33</v>
      </c>
      <c r="E83" t="s">
        <v>34</v>
      </c>
      <c r="F83" s="3">
        <v>0.25</v>
      </c>
      <c r="G83" s="4">
        <v>0.75</v>
      </c>
      <c r="H83" s="5" t="s">
        <v>19</v>
      </c>
      <c r="I83" t="s">
        <v>26</v>
      </c>
      <c r="J83" t="s">
        <v>24</v>
      </c>
      <c r="K83" t="s">
        <v>22</v>
      </c>
      <c r="L83" t="s">
        <v>35</v>
      </c>
      <c r="M83" t="s">
        <v>24</v>
      </c>
      <c r="N83">
        <f>IF(Table1[[#This Row],[Akhir]]&lt;Table1[[#This Row],[Awal]],(Table1[[#This Row],[Akhir]]+1)-Table1[[#This Row],[Awal]],Table1[[#This Row],[Akhir]]-Table1[[#This Row],[Awal]])*24</f>
        <v>12</v>
      </c>
      <c r="O83" t="str">
        <f>IF(Table1[[#This Row],[Duration Real]]&gt;=6,"Major",
IF(Table1[[#This Row],[Duration Real]]&gt;=2,"Medium","Minor"))</f>
        <v>Major</v>
      </c>
    </row>
    <row r="84" spans="1:15" x14ac:dyDescent="0.35">
      <c r="A84" s="2">
        <v>46146</v>
      </c>
      <c r="B84" t="s">
        <v>15</v>
      </c>
      <c r="C84" t="s">
        <v>32</v>
      </c>
      <c r="D84" t="s">
        <v>33</v>
      </c>
      <c r="E84" t="s">
        <v>174</v>
      </c>
      <c r="F84" s="3">
        <v>0.75</v>
      </c>
      <c r="G84" s="4">
        <v>0.87916666666666665</v>
      </c>
      <c r="H84" s="5" t="s">
        <v>19</v>
      </c>
      <c r="I84" t="s">
        <v>20</v>
      </c>
      <c r="J84" t="s">
        <v>24</v>
      </c>
      <c r="K84" t="s">
        <v>22</v>
      </c>
      <c r="L84" t="s">
        <v>35</v>
      </c>
      <c r="M84" t="s">
        <v>24</v>
      </c>
      <c r="N84">
        <f>IF(Table1[[#This Row],[Akhir]]&lt;Table1[[#This Row],[Awal]],(Table1[[#This Row],[Akhir]]+1)-Table1[[#This Row],[Awal]],Table1[[#This Row],[Akhir]]-Table1[[#This Row],[Awal]])*24</f>
        <v>3.0999999999999996</v>
      </c>
      <c r="O84" t="str">
        <f>IF(Table1[[#This Row],[Duration Real]]&gt;=6,"Major",
IF(Table1[[#This Row],[Duration Real]]&gt;=2,"Medium","Minor"))</f>
        <v>Medium</v>
      </c>
    </row>
    <row r="85" spans="1:15" x14ac:dyDescent="0.35">
      <c r="A85" s="2">
        <v>46146</v>
      </c>
      <c r="B85" t="s">
        <v>15</v>
      </c>
      <c r="C85" t="s">
        <v>36</v>
      </c>
      <c r="D85" t="s">
        <v>61</v>
      </c>
      <c r="E85" t="s">
        <v>175</v>
      </c>
      <c r="F85" s="3">
        <v>0.25</v>
      </c>
      <c r="G85" s="4">
        <v>0.37708333333333333</v>
      </c>
      <c r="H85" s="5" t="s">
        <v>19</v>
      </c>
      <c r="I85" t="s">
        <v>26</v>
      </c>
      <c r="J85" t="s">
        <v>129</v>
      </c>
      <c r="K85" t="s">
        <v>22</v>
      </c>
      <c r="L85" t="s">
        <v>130</v>
      </c>
      <c r="M85" t="s">
        <v>24</v>
      </c>
      <c r="N85">
        <f>IF(Table1[[#This Row],[Akhir]]&lt;Table1[[#This Row],[Awal]],(Table1[[#This Row],[Akhir]]+1)-Table1[[#This Row],[Awal]],Table1[[#This Row],[Akhir]]-Table1[[#This Row],[Awal]])*24</f>
        <v>3.05</v>
      </c>
      <c r="O85" t="str">
        <f>IF(Table1[[#This Row],[Duration Real]]&gt;=6,"Major",
IF(Table1[[#This Row],[Duration Real]]&gt;=2,"Medium","Minor"))</f>
        <v>Medium</v>
      </c>
    </row>
    <row r="86" spans="1:15" x14ac:dyDescent="0.35">
      <c r="A86" s="2">
        <v>46146</v>
      </c>
      <c r="B86" t="s">
        <v>15</v>
      </c>
      <c r="C86" t="s">
        <v>36</v>
      </c>
      <c r="D86" t="s">
        <v>176</v>
      </c>
      <c r="E86" t="s">
        <v>177</v>
      </c>
      <c r="F86" s="3">
        <v>0.83680555555555558</v>
      </c>
      <c r="G86" s="4">
        <v>0.8979166666666667</v>
      </c>
      <c r="H86" s="5" t="s">
        <v>19</v>
      </c>
      <c r="I86" t="s">
        <v>20</v>
      </c>
      <c r="J86" t="s">
        <v>178</v>
      </c>
      <c r="K86" t="s">
        <v>46</v>
      </c>
      <c r="L86" t="s">
        <v>179</v>
      </c>
      <c r="M86" t="s">
        <v>24</v>
      </c>
      <c r="N86">
        <f>IF(Table1[[#This Row],[Akhir]]&lt;Table1[[#This Row],[Awal]],(Table1[[#This Row],[Akhir]]+1)-Table1[[#This Row],[Awal]],Table1[[#This Row],[Akhir]]-Table1[[#This Row],[Awal]])*24</f>
        <v>1.4666666666666668</v>
      </c>
      <c r="O86" t="str">
        <f>IF(Table1[[#This Row],[Duration Real]]&gt;=6,"Major",
IF(Table1[[#This Row],[Duration Real]]&gt;=2,"Medium","Minor"))</f>
        <v>Minor</v>
      </c>
    </row>
    <row r="87" spans="1:15" x14ac:dyDescent="0.35">
      <c r="A87" s="2">
        <v>46146</v>
      </c>
      <c r="B87" t="s">
        <v>15</v>
      </c>
      <c r="C87" t="s">
        <v>41</v>
      </c>
      <c r="D87" t="s">
        <v>42</v>
      </c>
      <c r="E87" t="s">
        <v>34</v>
      </c>
      <c r="F87" s="3">
        <v>0.25</v>
      </c>
      <c r="G87" s="4">
        <v>0.75</v>
      </c>
      <c r="H87" s="5" t="s">
        <v>19</v>
      </c>
      <c r="I87" t="s">
        <v>26</v>
      </c>
      <c r="J87" t="s">
        <v>24</v>
      </c>
      <c r="K87" t="s">
        <v>39</v>
      </c>
      <c r="L87" t="s">
        <v>43</v>
      </c>
      <c r="M87" t="s">
        <v>24</v>
      </c>
      <c r="N87">
        <f>IF(Table1[[#This Row],[Akhir]]&lt;Table1[[#This Row],[Awal]],(Table1[[#This Row],[Akhir]]+1)-Table1[[#This Row],[Awal]],Table1[[#This Row],[Akhir]]-Table1[[#This Row],[Awal]])*24</f>
        <v>12</v>
      </c>
      <c r="O87" t="str">
        <f>IF(Table1[[#This Row],[Duration Real]]&gt;=6,"Major",
IF(Table1[[#This Row],[Duration Real]]&gt;=2,"Medium","Minor"))</f>
        <v>Major</v>
      </c>
    </row>
    <row r="88" spans="1:15" x14ac:dyDescent="0.35">
      <c r="A88" s="2">
        <v>46146</v>
      </c>
      <c r="B88" t="s">
        <v>15</v>
      </c>
      <c r="C88" t="s">
        <v>41</v>
      </c>
      <c r="D88" t="s">
        <v>42</v>
      </c>
      <c r="E88" t="s">
        <v>34</v>
      </c>
      <c r="F88" s="3">
        <v>0.75</v>
      </c>
      <c r="G88" s="4">
        <v>0.25</v>
      </c>
      <c r="H88" s="5" t="s">
        <v>19</v>
      </c>
      <c r="I88" t="s">
        <v>20</v>
      </c>
      <c r="J88" t="s">
        <v>24</v>
      </c>
      <c r="K88" t="s">
        <v>39</v>
      </c>
      <c r="L88" t="s">
        <v>43</v>
      </c>
      <c r="M88" t="s">
        <v>24</v>
      </c>
      <c r="N88">
        <f>IF(Table1[[#This Row],[Akhir]]&lt;Table1[[#This Row],[Awal]],(Table1[[#This Row],[Akhir]]+1)-Table1[[#This Row],[Awal]],Table1[[#This Row],[Akhir]]-Table1[[#This Row],[Awal]])*24</f>
        <v>12</v>
      </c>
      <c r="O88" t="str">
        <f>IF(Table1[[#This Row],[Duration Real]]&gt;=6,"Major",
IF(Table1[[#This Row],[Duration Real]]&gt;=2,"Medium","Minor"))</f>
        <v>Major</v>
      </c>
    </row>
    <row r="89" spans="1:15" x14ac:dyDescent="0.35">
      <c r="A89" s="2">
        <v>46146</v>
      </c>
      <c r="B89" t="s">
        <v>15</v>
      </c>
      <c r="C89" t="s">
        <v>131</v>
      </c>
      <c r="D89" t="s">
        <v>132</v>
      </c>
      <c r="E89" t="s">
        <v>180</v>
      </c>
      <c r="F89" s="3">
        <v>0.25</v>
      </c>
      <c r="G89" s="4">
        <v>0.36458333333333331</v>
      </c>
      <c r="H89" s="5" t="s">
        <v>19</v>
      </c>
      <c r="I89" t="s">
        <v>26</v>
      </c>
      <c r="J89" t="s">
        <v>24</v>
      </c>
      <c r="K89" t="s">
        <v>22</v>
      </c>
      <c r="L89" t="s">
        <v>134</v>
      </c>
      <c r="M89" t="s">
        <v>24</v>
      </c>
      <c r="N89">
        <f>IF(Table1[[#This Row],[Akhir]]&lt;Table1[[#This Row],[Awal]],(Table1[[#This Row],[Akhir]]+1)-Table1[[#This Row],[Awal]],Table1[[#This Row],[Akhir]]-Table1[[#This Row],[Awal]])*24</f>
        <v>2.7499999999999996</v>
      </c>
      <c r="O89" t="str">
        <f>IF(Table1[[#This Row],[Duration Real]]&gt;=6,"Major",
IF(Table1[[#This Row],[Duration Real]]&gt;=2,"Medium","Minor"))</f>
        <v>Medium</v>
      </c>
    </row>
    <row r="90" spans="1:15" x14ac:dyDescent="0.35">
      <c r="A90" s="2">
        <v>46146</v>
      </c>
      <c r="B90" t="s">
        <v>15</v>
      </c>
      <c r="C90" t="s">
        <v>44</v>
      </c>
      <c r="D90" t="s">
        <v>45</v>
      </c>
      <c r="E90" t="s">
        <v>34</v>
      </c>
      <c r="F90" s="3">
        <v>0.25</v>
      </c>
      <c r="G90" s="4">
        <v>0.75</v>
      </c>
      <c r="H90" s="5" t="s">
        <v>19</v>
      </c>
      <c r="I90" t="s">
        <v>26</v>
      </c>
      <c r="J90" t="s">
        <v>24</v>
      </c>
      <c r="K90" t="s">
        <v>46</v>
      </c>
      <c r="L90" t="s">
        <v>47</v>
      </c>
      <c r="M90" t="s">
        <v>24</v>
      </c>
      <c r="N90">
        <f>IF(Table1[[#This Row],[Akhir]]&lt;Table1[[#This Row],[Awal]],(Table1[[#This Row],[Akhir]]+1)-Table1[[#This Row],[Awal]],Table1[[#This Row],[Akhir]]-Table1[[#This Row],[Awal]])*24</f>
        <v>12</v>
      </c>
      <c r="O90" t="str">
        <f>IF(Table1[[#This Row],[Duration Real]]&gt;=6,"Major",
IF(Table1[[#This Row],[Duration Real]]&gt;=2,"Medium","Minor"))</f>
        <v>Major</v>
      </c>
    </row>
    <row r="91" spans="1:15" x14ac:dyDescent="0.35">
      <c r="A91" s="2">
        <v>46146</v>
      </c>
      <c r="B91" t="s">
        <v>15</v>
      </c>
      <c r="C91" t="s">
        <v>44</v>
      </c>
      <c r="D91" t="s">
        <v>45</v>
      </c>
      <c r="E91" t="s">
        <v>34</v>
      </c>
      <c r="F91" s="3">
        <v>0.75</v>
      </c>
      <c r="G91" s="4">
        <v>0.25</v>
      </c>
      <c r="H91" s="5" t="s">
        <v>19</v>
      </c>
      <c r="I91" t="s">
        <v>20</v>
      </c>
      <c r="J91" t="s">
        <v>24</v>
      </c>
      <c r="K91" t="s">
        <v>46</v>
      </c>
      <c r="L91" t="s">
        <v>47</v>
      </c>
      <c r="M91" t="s">
        <v>24</v>
      </c>
      <c r="N91">
        <f>IF(Table1[[#This Row],[Akhir]]&lt;Table1[[#This Row],[Awal]],(Table1[[#This Row],[Akhir]]+1)-Table1[[#This Row],[Awal]],Table1[[#This Row],[Akhir]]-Table1[[#This Row],[Awal]])*24</f>
        <v>12</v>
      </c>
      <c r="O91" t="str">
        <f>IF(Table1[[#This Row],[Duration Real]]&gt;=6,"Major",
IF(Table1[[#This Row],[Duration Real]]&gt;=2,"Medium","Minor"))</f>
        <v>Major</v>
      </c>
    </row>
    <row r="92" spans="1:15" x14ac:dyDescent="0.35">
      <c r="A92" s="2">
        <v>46146</v>
      </c>
      <c r="B92" t="s">
        <v>15</v>
      </c>
      <c r="C92" t="s">
        <v>48</v>
      </c>
      <c r="D92" t="s">
        <v>135</v>
      </c>
      <c r="E92" t="s">
        <v>181</v>
      </c>
      <c r="F92" s="3">
        <v>0.75</v>
      </c>
      <c r="G92" s="4">
        <v>0.80555555555555558</v>
      </c>
      <c r="H92" s="5" t="s">
        <v>19</v>
      </c>
      <c r="I92" t="s">
        <v>20</v>
      </c>
      <c r="J92" t="s">
        <v>24</v>
      </c>
      <c r="K92" t="s">
        <v>107</v>
      </c>
      <c r="L92" t="s">
        <v>51</v>
      </c>
      <c r="M92" t="s">
        <v>24</v>
      </c>
      <c r="N92">
        <f>IF(Table1[[#This Row],[Akhir]]&lt;Table1[[#This Row],[Awal]],(Table1[[#This Row],[Akhir]]+1)-Table1[[#This Row],[Awal]],Table1[[#This Row],[Akhir]]-Table1[[#This Row],[Awal]])*24</f>
        <v>1.3333333333333339</v>
      </c>
      <c r="O92" t="str">
        <f>IF(Table1[[#This Row],[Duration Real]]&gt;=6,"Major",
IF(Table1[[#This Row],[Duration Real]]&gt;=2,"Medium","Minor"))</f>
        <v>Minor</v>
      </c>
    </row>
    <row r="93" spans="1:15" x14ac:dyDescent="0.35">
      <c r="A93" s="2">
        <v>46146</v>
      </c>
      <c r="B93" t="s">
        <v>15</v>
      </c>
      <c r="C93" t="s">
        <v>48</v>
      </c>
      <c r="D93" t="s">
        <v>135</v>
      </c>
      <c r="E93" t="s">
        <v>34</v>
      </c>
      <c r="F93" s="3">
        <v>0.25</v>
      </c>
      <c r="G93" s="4">
        <v>0.75</v>
      </c>
      <c r="H93" s="5" t="s">
        <v>19</v>
      </c>
      <c r="I93" t="s">
        <v>26</v>
      </c>
      <c r="J93" t="s">
        <v>24</v>
      </c>
      <c r="K93" t="s">
        <v>107</v>
      </c>
      <c r="L93" t="s">
        <v>51</v>
      </c>
      <c r="M93" t="s">
        <v>24</v>
      </c>
      <c r="N93">
        <f>IF(Table1[[#This Row],[Akhir]]&lt;Table1[[#This Row],[Awal]],(Table1[[#This Row],[Akhir]]+1)-Table1[[#This Row],[Awal]],Table1[[#This Row],[Akhir]]-Table1[[#This Row],[Awal]])*24</f>
        <v>12</v>
      </c>
      <c r="O93" t="str">
        <f>IF(Table1[[#This Row],[Duration Real]]&gt;=6,"Major",
IF(Table1[[#This Row],[Duration Real]]&gt;=2,"Medium","Minor"))</f>
        <v>Major</v>
      </c>
    </row>
    <row r="94" spans="1:15" x14ac:dyDescent="0.35">
      <c r="A94" s="2">
        <v>46146</v>
      </c>
      <c r="B94" t="s">
        <v>15</v>
      </c>
      <c r="C94" t="s">
        <v>52</v>
      </c>
      <c r="D94" t="s">
        <v>182</v>
      </c>
      <c r="E94" t="s">
        <v>183</v>
      </c>
      <c r="F94" s="3">
        <v>0.54166666666666663</v>
      </c>
      <c r="G94" s="4">
        <v>0.59930555555555554</v>
      </c>
      <c r="H94" s="5" t="s">
        <v>19</v>
      </c>
      <c r="I94" t="s">
        <v>26</v>
      </c>
      <c r="J94" t="s">
        <v>24</v>
      </c>
      <c r="K94" t="s">
        <v>22</v>
      </c>
      <c r="L94" t="s">
        <v>43</v>
      </c>
      <c r="M94" t="s">
        <v>24</v>
      </c>
      <c r="N94">
        <f>IF(Table1[[#This Row],[Akhir]]&lt;Table1[[#This Row],[Awal]],(Table1[[#This Row],[Akhir]]+1)-Table1[[#This Row],[Awal]],Table1[[#This Row],[Akhir]]-Table1[[#This Row],[Awal]])*24</f>
        <v>1.3833333333333337</v>
      </c>
      <c r="O94" t="str">
        <f>IF(Table1[[#This Row],[Duration Real]]&gt;=6,"Major",
IF(Table1[[#This Row],[Duration Real]]&gt;=2,"Medium","Minor"))</f>
        <v>Minor</v>
      </c>
    </row>
    <row r="95" spans="1:15" x14ac:dyDescent="0.35">
      <c r="A95" s="2">
        <v>46146</v>
      </c>
      <c r="B95" t="s">
        <v>15</v>
      </c>
      <c r="C95" t="s">
        <v>64</v>
      </c>
      <c r="D95" t="s">
        <v>184</v>
      </c>
      <c r="E95" t="s">
        <v>185</v>
      </c>
      <c r="F95" s="3">
        <v>0.34861111111111109</v>
      </c>
      <c r="G95" s="4">
        <v>0.59722222222222221</v>
      </c>
      <c r="H95" s="5" t="s">
        <v>19</v>
      </c>
      <c r="I95" t="s">
        <v>26</v>
      </c>
      <c r="J95" t="s">
        <v>24</v>
      </c>
      <c r="K95" t="s">
        <v>46</v>
      </c>
      <c r="L95" t="s">
        <v>67</v>
      </c>
      <c r="M95" t="s">
        <v>24</v>
      </c>
      <c r="N95">
        <f>IF(Table1[[#This Row],[Akhir]]&lt;Table1[[#This Row],[Awal]],(Table1[[#This Row],[Akhir]]+1)-Table1[[#This Row],[Awal]],Table1[[#This Row],[Akhir]]-Table1[[#This Row],[Awal]])*24</f>
        <v>5.9666666666666668</v>
      </c>
      <c r="O95" t="str">
        <f>IF(Table1[[#This Row],[Duration Real]]&gt;=6,"Major",
IF(Table1[[#This Row],[Duration Real]]&gt;=2,"Medium","Minor"))</f>
        <v>Medium</v>
      </c>
    </row>
    <row r="96" spans="1:15" x14ac:dyDescent="0.35">
      <c r="A96" s="2">
        <v>46146</v>
      </c>
      <c r="B96" t="s">
        <v>15</v>
      </c>
      <c r="C96" t="s">
        <v>85</v>
      </c>
      <c r="D96" t="s">
        <v>86</v>
      </c>
      <c r="E96" t="s">
        <v>34</v>
      </c>
      <c r="F96" s="3">
        <v>0.25</v>
      </c>
      <c r="G96" s="4">
        <v>0.75</v>
      </c>
      <c r="H96" s="5" t="s">
        <v>19</v>
      </c>
      <c r="I96" t="s">
        <v>26</v>
      </c>
      <c r="J96" t="s">
        <v>24</v>
      </c>
      <c r="K96" t="s">
        <v>22</v>
      </c>
      <c r="L96" t="s">
        <v>87</v>
      </c>
      <c r="M96" t="s">
        <v>24</v>
      </c>
      <c r="N96">
        <f>IF(Table1[[#This Row],[Akhir]]&lt;Table1[[#This Row],[Awal]],(Table1[[#This Row],[Akhir]]+1)-Table1[[#This Row],[Awal]],Table1[[#This Row],[Akhir]]-Table1[[#This Row],[Awal]])*24</f>
        <v>12</v>
      </c>
      <c r="O96" t="str">
        <f>IF(Table1[[#This Row],[Duration Real]]&gt;=6,"Major",
IF(Table1[[#This Row],[Duration Real]]&gt;=2,"Medium","Minor"))</f>
        <v>Major</v>
      </c>
    </row>
    <row r="97" spans="1:15" x14ac:dyDescent="0.35">
      <c r="A97" s="2">
        <v>46146</v>
      </c>
      <c r="B97" t="s">
        <v>15</v>
      </c>
      <c r="C97" t="s">
        <v>85</v>
      </c>
      <c r="D97" t="s">
        <v>86</v>
      </c>
      <c r="E97" t="s">
        <v>34</v>
      </c>
      <c r="F97" s="3">
        <v>0.75</v>
      </c>
      <c r="G97" s="4">
        <v>0.25</v>
      </c>
      <c r="H97" s="5" t="s">
        <v>19</v>
      </c>
      <c r="I97" t="s">
        <v>20</v>
      </c>
      <c r="J97" t="s">
        <v>24</v>
      </c>
      <c r="K97" t="s">
        <v>22</v>
      </c>
      <c r="L97" t="s">
        <v>87</v>
      </c>
      <c r="M97" t="s">
        <v>24</v>
      </c>
      <c r="N97">
        <f>IF(Table1[[#This Row],[Akhir]]&lt;Table1[[#This Row],[Awal]],(Table1[[#This Row],[Akhir]]+1)-Table1[[#This Row],[Awal]],Table1[[#This Row],[Akhir]]-Table1[[#This Row],[Awal]])*24</f>
        <v>12</v>
      </c>
      <c r="O97" t="str">
        <f>IF(Table1[[#This Row],[Duration Real]]&gt;=6,"Major",
IF(Table1[[#This Row],[Duration Real]]&gt;=2,"Medium","Minor"))</f>
        <v>Major</v>
      </c>
    </row>
    <row r="98" spans="1:15" x14ac:dyDescent="0.35">
      <c r="A98" s="2">
        <v>46146</v>
      </c>
      <c r="B98" t="s">
        <v>15</v>
      </c>
      <c r="C98" t="s">
        <v>88</v>
      </c>
      <c r="D98" t="s">
        <v>89</v>
      </c>
      <c r="E98" t="s">
        <v>186</v>
      </c>
      <c r="F98" s="3">
        <v>0.25</v>
      </c>
      <c r="G98" s="4">
        <v>0.27083333333333331</v>
      </c>
      <c r="H98" s="5" t="s">
        <v>19</v>
      </c>
      <c r="I98" t="s">
        <v>26</v>
      </c>
      <c r="J98" t="s">
        <v>24</v>
      </c>
      <c r="K98" t="s">
        <v>39</v>
      </c>
      <c r="L98" t="s">
        <v>43</v>
      </c>
      <c r="M98" t="s">
        <v>24</v>
      </c>
      <c r="N98">
        <f>IF(Table1[[#This Row],[Akhir]]&lt;Table1[[#This Row],[Awal]],(Table1[[#This Row],[Akhir]]+1)-Table1[[#This Row],[Awal]],Table1[[#This Row],[Akhir]]-Table1[[#This Row],[Awal]])*24</f>
        <v>0.49999999999999956</v>
      </c>
      <c r="O98" t="str">
        <f>IF(Table1[[#This Row],[Duration Real]]&gt;=6,"Major",
IF(Table1[[#This Row],[Duration Real]]&gt;=2,"Medium","Minor"))</f>
        <v>Minor</v>
      </c>
    </row>
    <row r="99" spans="1:15" x14ac:dyDescent="0.35">
      <c r="A99" s="2">
        <v>46146</v>
      </c>
      <c r="B99" t="s">
        <v>15</v>
      </c>
      <c r="C99" t="s">
        <v>88</v>
      </c>
      <c r="D99" t="s">
        <v>187</v>
      </c>
      <c r="E99" t="s">
        <v>34</v>
      </c>
      <c r="F99" s="3">
        <v>0.75</v>
      </c>
      <c r="G99" s="4">
        <v>0.25</v>
      </c>
      <c r="H99" s="5" t="s">
        <v>19</v>
      </c>
      <c r="I99" t="s">
        <v>20</v>
      </c>
      <c r="J99" t="s">
        <v>24</v>
      </c>
      <c r="K99" t="s">
        <v>22</v>
      </c>
      <c r="L99" t="s">
        <v>188</v>
      </c>
      <c r="M99" t="s">
        <v>24</v>
      </c>
      <c r="N99">
        <f>IF(Table1[[#This Row],[Akhir]]&lt;Table1[[#This Row],[Awal]],(Table1[[#This Row],[Akhir]]+1)-Table1[[#This Row],[Awal]],Table1[[#This Row],[Akhir]]-Table1[[#This Row],[Awal]])*24</f>
        <v>12</v>
      </c>
      <c r="O99" t="str">
        <f>IF(Table1[[#This Row],[Duration Real]]&gt;=6,"Major",
IF(Table1[[#This Row],[Duration Real]]&gt;=2,"Medium","Minor"))</f>
        <v>Major</v>
      </c>
    </row>
    <row r="100" spans="1:15" x14ac:dyDescent="0.35">
      <c r="A100" s="2">
        <v>46146</v>
      </c>
      <c r="B100" t="s">
        <v>15</v>
      </c>
      <c r="C100" t="s">
        <v>88</v>
      </c>
      <c r="D100" t="s">
        <v>187</v>
      </c>
      <c r="E100" t="s">
        <v>189</v>
      </c>
      <c r="F100" s="3">
        <v>0.38611111111111113</v>
      </c>
      <c r="G100" s="4">
        <v>0.75</v>
      </c>
      <c r="H100" s="5" t="s">
        <v>19</v>
      </c>
      <c r="I100" t="s">
        <v>26</v>
      </c>
      <c r="J100" t="s">
        <v>24</v>
      </c>
      <c r="K100" t="s">
        <v>22</v>
      </c>
      <c r="L100" t="s">
        <v>188</v>
      </c>
      <c r="M100" t="s">
        <v>24</v>
      </c>
      <c r="N100">
        <f>IF(Table1[[#This Row],[Akhir]]&lt;Table1[[#This Row],[Awal]],(Table1[[#This Row],[Akhir]]+1)-Table1[[#This Row],[Awal]],Table1[[#This Row],[Akhir]]-Table1[[#This Row],[Awal]])*24</f>
        <v>8.7333333333333325</v>
      </c>
      <c r="O100" t="str">
        <f>IF(Table1[[#This Row],[Duration Real]]&gt;=6,"Major",
IF(Table1[[#This Row],[Duration Real]]&gt;=2,"Medium","Minor"))</f>
        <v>Major</v>
      </c>
    </row>
    <row r="101" spans="1:15" x14ac:dyDescent="0.35">
      <c r="A101" s="2">
        <v>46146</v>
      </c>
      <c r="B101" t="s">
        <v>15</v>
      </c>
      <c r="C101" t="s">
        <v>118</v>
      </c>
      <c r="D101" t="s">
        <v>190</v>
      </c>
      <c r="E101" t="s">
        <v>191</v>
      </c>
      <c r="F101" s="3">
        <v>0.79166666666666663</v>
      </c>
      <c r="G101" s="4">
        <v>0.91666666666666663</v>
      </c>
      <c r="H101" s="5" t="s">
        <v>19</v>
      </c>
      <c r="I101" t="s">
        <v>20</v>
      </c>
      <c r="J101" t="s">
        <v>192</v>
      </c>
      <c r="K101" t="s">
        <v>46</v>
      </c>
      <c r="L101" t="s">
        <v>193</v>
      </c>
      <c r="M101" t="s">
        <v>24</v>
      </c>
      <c r="N101">
        <f>IF(Table1[[#This Row],[Akhir]]&lt;Table1[[#This Row],[Awal]],(Table1[[#This Row],[Akhir]]+1)-Table1[[#This Row],[Awal]],Table1[[#This Row],[Akhir]]-Table1[[#This Row],[Awal]])*24</f>
        <v>3</v>
      </c>
      <c r="O101" t="str">
        <f>IF(Table1[[#This Row],[Duration Real]]&gt;=6,"Major",
IF(Table1[[#This Row],[Duration Real]]&gt;=2,"Medium","Minor"))</f>
        <v>Medium</v>
      </c>
    </row>
    <row r="102" spans="1:15" x14ac:dyDescent="0.35">
      <c r="A102" s="2">
        <v>46146</v>
      </c>
      <c r="B102" t="s">
        <v>94</v>
      </c>
      <c r="C102" t="s">
        <v>95</v>
      </c>
      <c r="D102" t="s">
        <v>194</v>
      </c>
      <c r="E102" t="s">
        <v>195</v>
      </c>
      <c r="F102" s="3">
        <v>0.7055555555555556</v>
      </c>
      <c r="G102" s="4">
        <v>0.75</v>
      </c>
      <c r="H102" s="5" t="s">
        <v>19</v>
      </c>
      <c r="I102" t="s">
        <v>26</v>
      </c>
      <c r="J102" t="s">
        <v>196</v>
      </c>
      <c r="K102" t="s">
        <v>22</v>
      </c>
      <c r="L102" t="s">
        <v>43</v>
      </c>
      <c r="M102" t="s">
        <v>24</v>
      </c>
      <c r="N102">
        <f>IF(Table1[[#This Row],[Akhir]]&lt;Table1[[#This Row],[Awal]],(Table1[[#This Row],[Akhir]]+1)-Table1[[#This Row],[Awal]],Table1[[#This Row],[Akhir]]-Table1[[#This Row],[Awal]])*24</f>
        <v>1.0666666666666655</v>
      </c>
      <c r="O102" t="str">
        <f>IF(Table1[[#This Row],[Duration Real]]&gt;=6,"Major",
IF(Table1[[#This Row],[Duration Real]]&gt;=2,"Medium","Minor"))</f>
        <v>Minor</v>
      </c>
    </row>
    <row r="103" spans="1:15" x14ac:dyDescent="0.35">
      <c r="A103" s="2">
        <v>46146</v>
      </c>
      <c r="B103" t="s">
        <v>94</v>
      </c>
      <c r="C103" t="s">
        <v>95</v>
      </c>
      <c r="D103" t="s">
        <v>194</v>
      </c>
      <c r="E103" t="s">
        <v>197</v>
      </c>
      <c r="F103" s="3">
        <v>0.75</v>
      </c>
      <c r="G103" s="4">
        <v>0.9</v>
      </c>
      <c r="H103" s="5" t="s">
        <v>19</v>
      </c>
      <c r="I103" t="s">
        <v>20</v>
      </c>
      <c r="J103" t="s">
        <v>196</v>
      </c>
      <c r="K103" t="s">
        <v>22</v>
      </c>
      <c r="L103" t="s">
        <v>43</v>
      </c>
      <c r="M103" t="s">
        <v>24</v>
      </c>
      <c r="N103">
        <f>IF(Table1[[#This Row],[Akhir]]&lt;Table1[[#This Row],[Awal]],(Table1[[#This Row],[Akhir]]+1)-Table1[[#This Row],[Awal]],Table1[[#This Row],[Akhir]]-Table1[[#This Row],[Awal]])*24</f>
        <v>3.6000000000000005</v>
      </c>
      <c r="O103" t="str">
        <f>IF(Table1[[#This Row],[Duration Real]]&gt;=6,"Major",
IF(Table1[[#This Row],[Duration Real]]&gt;=2,"Medium","Minor"))</f>
        <v>Medium</v>
      </c>
    </row>
    <row r="104" spans="1:15" x14ac:dyDescent="0.35">
      <c r="A104" s="2">
        <v>46146</v>
      </c>
      <c r="B104" t="s">
        <v>94</v>
      </c>
      <c r="C104" t="s">
        <v>99</v>
      </c>
      <c r="D104" t="s">
        <v>198</v>
      </c>
      <c r="E104" t="s">
        <v>199</v>
      </c>
      <c r="F104" s="3">
        <v>0.62986111111111109</v>
      </c>
      <c r="G104" s="4">
        <v>0.65486111111111112</v>
      </c>
      <c r="H104" s="5" t="s">
        <v>19</v>
      </c>
      <c r="I104" t="s">
        <v>26</v>
      </c>
      <c r="J104" t="s">
        <v>24</v>
      </c>
      <c r="K104" t="s">
        <v>22</v>
      </c>
      <c r="L104" t="s">
        <v>43</v>
      </c>
      <c r="M104" t="s">
        <v>24</v>
      </c>
      <c r="N104">
        <f>IF(Table1[[#This Row],[Akhir]]&lt;Table1[[#This Row],[Awal]],(Table1[[#This Row],[Akhir]]+1)-Table1[[#This Row],[Awal]],Table1[[#This Row],[Akhir]]-Table1[[#This Row],[Awal]])*24</f>
        <v>0.60000000000000053</v>
      </c>
      <c r="O104" t="str">
        <f>IF(Table1[[#This Row],[Duration Real]]&gt;=6,"Major",
IF(Table1[[#This Row],[Duration Real]]&gt;=2,"Medium","Minor"))</f>
        <v>Minor</v>
      </c>
    </row>
    <row r="105" spans="1:15" x14ac:dyDescent="0.35">
      <c r="A105" s="2">
        <v>46146</v>
      </c>
      <c r="B105" t="s">
        <v>94</v>
      </c>
      <c r="C105" t="s">
        <v>99</v>
      </c>
      <c r="D105" t="s">
        <v>200</v>
      </c>
      <c r="E105" t="s">
        <v>123</v>
      </c>
      <c r="F105" s="3">
        <v>0.28819444444444442</v>
      </c>
      <c r="G105" s="4">
        <v>0.34097222222222223</v>
      </c>
      <c r="H105" s="5" t="s">
        <v>19</v>
      </c>
      <c r="I105" t="s">
        <v>26</v>
      </c>
      <c r="J105" t="s">
        <v>24</v>
      </c>
      <c r="K105" t="s">
        <v>22</v>
      </c>
      <c r="L105" t="s">
        <v>201</v>
      </c>
      <c r="M105" t="s">
        <v>24</v>
      </c>
      <c r="N105">
        <f>IF(Table1[[#This Row],[Akhir]]&lt;Table1[[#This Row],[Awal]],(Table1[[#This Row],[Akhir]]+1)-Table1[[#This Row],[Awal]],Table1[[#This Row],[Akhir]]-Table1[[#This Row],[Awal]])*24</f>
        <v>1.2666666666666675</v>
      </c>
      <c r="O105" t="str">
        <f>IF(Table1[[#This Row],[Duration Real]]&gt;=6,"Major",
IF(Table1[[#This Row],[Duration Real]]&gt;=2,"Medium","Minor"))</f>
        <v>Minor</v>
      </c>
    </row>
    <row r="106" spans="1:15" x14ac:dyDescent="0.35">
      <c r="A106" s="2">
        <v>46146</v>
      </c>
      <c r="B106" t="s">
        <v>94</v>
      </c>
      <c r="C106" t="s">
        <v>99</v>
      </c>
      <c r="D106" t="s">
        <v>202</v>
      </c>
      <c r="E106" t="s">
        <v>38</v>
      </c>
      <c r="F106" s="3">
        <v>0.75</v>
      </c>
      <c r="G106" s="4">
        <v>0.79166666666666663</v>
      </c>
      <c r="H106" s="5" t="s">
        <v>19</v>
      </c>
      <c r="I106" t="s">
        <v>20</v>
      </c>
      <c r="J106" t="s">
        <v>203</v>
      </c>
      <c r="K106" t="s">
        <v>39</v>
      </c>
      <c r="L106" t="s">
        <v>43</v>
      </c>
      <c r="M106" t="s">
        <v>24</v>
      </c>
      <c r="N106">
        <f>IF(Table1[[#This Row],[Akhir]]&lt;Table1[[#This Row],[Awal]],(Table1[[#This Row],[Akhir]]+1)-Table1[[#This Row],[Awal]],Table1[[#This Row],[Akhir]]-Table1[[#This Row],[Awal]])*24</f>
        <v>0.99999999999999911</v>
      </c>
      <c r="O106" t="str">
        <f>IF(Table1[[#This Row],[Duration Real]]&gt;=6,"Major",
IF(Table1[[#This Row],[Duration Real]]&gt;=2,"Medium","Minor"))</f>
        <v>Minor</v>
      </c>
    </row>
    <row r="107" spans="1:15" x14ac:dyDescent="0.35">
      <c r="A107" s="2">
        <v>46146</v>
      </c>
      <c r="B107" t="s">
        <v>94</v>
      </c>
      <c r="C107" t="s">
        <v>204</v>
      </c>
      <c r="D107" t="s">
        <v>205</v>
      </c>
      <c r="E107" t="s">
        <v>206</v>
      </c>
      <c r="F107" s="3">
        <v>0.77222222222222225</v>
      </c>
      <c r="G107" s="4">
        <v>0.25</v>
      </c>
      <c r="H107" s="5" t="s">
        <v>19</v>
      </c>
      <c r="I107" t="s">
        <v>20</v>
      </c>
      <c r="J107" t="s">
        <v>207</v>
      </c>
      <c r="K107" t="s">
        <v>39</v>
      </c>
      <c r="L107" t="s">
        <v>23</v>
      </c>
      <c r="M107" t="s">
        <v>24</v>
      </c>
      <c r="N107">
        <f>IF(Table1[[#This Row],[Akhir]]&lt;Table1[[#This Row],[Awal]],(Table1[[#This Row],[Akhir]]+1)-Table1[[#This Row],[Awal]],Table1[[#This Row],[Akhir]]-Table1[[#This Row],[Awal]])*24</f>
        <v>11.466666666666665</v>
      </c>
      <c r="O107" t="str">
        <f>IF(Table1[[#This Row],[Duration Real]]&gt;=6,"Major",
IF(Table1[[#This Row],[Duration Real]]&gt;=2,"Medium","Minor"))</f>
        <v>Major</v>
      </c>
    </row>
    <row r="108" spans="1:15" x14ac:dyDescent="0.35">
      <c r="A108" s="2">
        <v>46146</v>
      </c>
      <c r="B108" t="s">
        <v>94</v>
      </c>
      <c r="C108" t="s">
        <v>204</v>
      </c>
      <c r="D108" t="s">
        <v>208</v>
      </c>
      <c r="E108" t="s">
        <v>115</v>
      </c>
      <c r="F108" s="3">
        <v>0.4236111111111111</v>
      </c>
      <c r="G108" s="4">
        <v>0.48541666666666666</v>
      </c>
      <c r="H108" s="5" t="s">
        <v>19</v>
      </c>
      <c r="I108" t="s">
        <v>26</v>
      </c>
      <c r="J108" t="s">
        <v>24</v>
      </c>
      <c r="K108" t="s">
        <v>22</v>
      </c>
      <c r="L108" t="s">
        <v>43</v>
      </c>
      <c r="M108" t="s">
        <v>24</v>
      </c>
      <c r="N108">
        <f>IF(Table1[[#This Row],[Akhir]]&lt;Table1[[#This Row],[Awal]],(Table1[[#This Row],[Akhir]]+1)-Table1[[#This Row],[Awal]],Table1[[#This Row],[Akhir]]-Table1[[#This Row],[Awal]])*24</f>
        <v>1.4833333333333334</v>
      </c>
      <c r="O108" t="str">
        <f>IF(Table1[[#This Row],[Duration Real]]&gt;=6,"Major",
IF(Table1[[#This Row],[Duration Real]]&gt;=2,"Medium","Minor"))</f>
        <v>Minor</v>
      </c>
    </row>
    <row r="109" spans="1:15" x14ac:dyDescent="0.35">
      <c r="A109" s="2">
        <v>46146</v>
      </c>
      <c r="B109" t="s">
        <v>94</v>
      </c>
      <c r="C109" t="s">
        <v>101</v>
      </c>
      <c r="D109" t="s">
        <v>102</v>
      </c>
      <c r="E109" t="s">
        <v>34</v>
      </c>
      <c r="F109" s="3">
        <v>0.25</v>
      </c>
      <c r="G109" s="4">
        <v>0.75</v>
      </c>
      <c r="H109" s="5" t="s">
        <v>19</v>
      </c>
      <c r="I109" t="s">
        <v>26</v>
      </c>
      <c r="J109" t="s">
        <v>24</v>
      </c>
      <c r="K109" t="s">
        <v>22</v>
      </c>
      <c r="L109" t="s">
        <v>23</v>
      </c>
      <c r="M109" t="s">
        <v>24</v>
      </c>
      <c r="N109">
        <f>IF(Table1[[#This Row],[Akhir]]&lt;Table1[[#This Row],[Awal]],(Table1[[#This Row],[Akhir]]+1)-Table1[[#This Row],[Awal]],Table1[[#This Row],[Akhir]]-Table1[[#This Row],[Awal]])*24</f>
        <v>12</v>
      </c>
      <c r="O109" t="str">
        <f>IF(Table1[[#This Row],[Duration Real]]&gt;=6,"Major",
IF(Table1[[#This Row],[Duration Real]]&gt;=2,"Medium","Minor"))</f>
        <v>Major</v>
      </c>
    </row>
    <row r="110" spans="1:15" x14ac:dyDescent="0.35">
      <c r="A110" s="2">
        <v>46146</v>
      </c>
      <c r="B110" t="s">
        <v>94</v>
      </c>
      <c r="C110" t="s">
        <v>101</v>
      </c>
      <c r="D110" t="s">
        <v>102</v>
      </c>
      <c r="E110" t="s">
        <v>34</v>
      </c>
      <c r="F110" s="3">
        <v>0.75</v>
      </c>
      <c r="G110" s="4">
        <v>0.25</v>
      </c>
      <c r="H110" s="5" t="s">
        <v>19</v>
      </c>
      <c r="I110" t="s">
        <v>20</v>
      </c>
      <c r="J110" t="s">
        <v>24</v>
      </c>
      <c r="K110" t="s">
        <v>22</v>
      </c>
      <c r="L110" t="s">
        <v>23</v>
      </c>
      <c r="M110" t="s">
        <v>24</v>
      </c>
      <c r="N110">
        <f>IF(Table1[[#This Row],[Akhir]]&lt;Table1[[#This Row],[Awal]],(Table1[[#This Row],[Akhir]]+1)-Table1[[#This Row],[Awal]],Table1[[#This Row],[Akhir]]-Table1[[#This Row],[Awal]])*24</f>
        <v>12</v>
      </c>
      <c r="O110" t="str">
        <f>IF(Table1[[#This Row],[Duration Real]]&gt;=6,"Major",
IF(Table1[[#This Row],[Duration Real]]&gt;=2,"Medium","Minor"))</f>
        <v>Major</v>
      </c>
    </row>
    <row r="111" spans="1:15" x14ac:dyDescent="0.35">
      <c r="A111" s="2">
        <v>46147</v>
      </c>
      <c r="B111" t="s">
        <v>15</v>
      </c>
      <c r="C111" t="s">
        <v>16</v>
      </c>
      <c r="D111" t="s">
        <v>209</v>
      </c>
      <c r="E111" t="s">
        <v>210</v>
      </c>
      <c r="F111" s="3">
        <v>0.75</v>
      </c>
      <c r="G111" s="4">
        <v>0.18194444444444444</v>
      </c>
      <c r="H111" s="5" t="s">
        <v>19</v>
      </c>
      <c r="I111" t="s">
        <v>20</v>
      </c>
      <c r="J111" t="s">
        <v>24</v>
      </c>
      <c r="K111" t="s">
        <v>39</v>
      </c>
      <c r="L111" t="s">
        <v>43</v>
      </c>
      <c r="M111" t="s">
        <v>24</v>
      </c>
      <c r="N111">
        <f>IF(Table1[[#This Row],[Akhir]]&lt;Table1[[#This Row],[Awal]],(Table1[[#This Row],[Akhir]]+1)-Table1[[#This Row],[Awal]],Table1[[#This Row],[Akhir]]-Table1[[#This Row],[Awal]])*24</f>
        <v>10.366666666666667</v>
      </c>
      <c r="O111" t="str">
        <f>IF(Table1[[#This Row],[Duration Real]]&gt;=6,"Major",
IF(Table1[[#This Row],[Duration Real]]&gt;=2,"Medium","Minor"))</f>
        <v>Major</v>
      </c>
    </row>
    <row r="112" spans="1:15" x14ac:dyDescent="0.35">
      <c r="A112" s="2">
        <v>46147</v>
      </c>
      <c r="B112" t="s">
        <v>15</v>
      </c>
      <c r="C112" t="s">
        <v>16</v>
      </c>
      <c r="D112" t="s">
        <v>211</v>
      </c>
      <c r="E112" t="s">
        <v>212</v>
      </c>
      <c r="F112" s="3">
        <v>0.25</v>
      </c>
      <c r="G112" s="4">
        <v>0.34652777777777777</v>
      </c>
      <c r="H112" s="5" t="s">
        <v>19</v>
      </c>
      <c r="I112" t="s">
        <v>26</v>
      </c>
      <c r="J112" t="s">
        <v>24</v>
      </c>
      <c r="K112" t="s">
        <v>22</v>
      </c>
      <c r="L112" t="s">
        <v>162</v>
      </c>
      <c r="M112" t="s">
        <v>24</v>
      </c>
      <c r="N112">
        <f>IF(Table1[[#This Row],[Akhir]]&lt;Table1[[#This Row],[Awal]],(Table1[[#This Row],[Akhir]]+1)-Table1[[#This Row],[Awal]],Table1[[#This Row],[Akhir]]-Table1[[#This Row],[Awal]])*24</f>
        <v>2.3166666666666664</v>
      </c>
      <c r="O112" t="str">
        <f>IF(Table1[[#This Row],[Duration Real]]&gt;=6,"Major",
IF(Table1[[#This Row],[Duration Real]]&gt;=2,"Medium","Minor"))</f>
        <v>Medium</v>
      </c>
    </row>
    <row r="113" spans="1:15" x14ac:dyDescent="0.35">
      <c r="A113" s="2">
        <v>46147</v>
      </c>
      <c r="B113" t="s">
        <v>15</v>
      </c>
      <c r="C113" t="s">
        <v>16</v>
      </c>
      <c r="D113" t="s">
        <v>213</v>
      </c>
      <c r="E113" t="s">
        <v>214</v>
      </c>
      <c r="F113" s="3">
        <v>0.42638888888888887</v>
      </c>
      <c r="G113" s="4">
        <v>0.59791666666666665</v>
      </c>
      <c r="H113" s="5" t="s">
        <v>19</v>
      </c>
      <c r="I113" t="s">
        <v>26</v>
      </c>
      <c r="J113" t="s">
        <v>24</v>
      </c>
      <c r="K113" t="s">
        <v>22</v>
      </c>
      <c r="L113" t="s">
        <v>165</v>
      </c>
      <c r="M113" t="s">
        <v>24</v>
      </c>
      <c r="N113">
        <f>IF(Table1[[#This Row],[Akhir]]&lt;Table1[[#This Row],[Awal]],(Table1[[#This Row],[Akhir]]+1)-Table1[[#This Row],[Awal]],Table1[[#This Row],[Akhir]]-Table1[[#This Row],[Awal]])*24</f>
        <v>4.1166666666666671</v>
      </c>
      <c r="O113" t="str">
        <f>IF(Table1[[#This Row],[Duration Real]]&gt;=6,"Major",
IF(Table1[[#This Row],[Duration Real]]&gt;=2,"Medium","Minor"))</f>
        <v>Medium</v>
      </c>
    </row>
    <row r="114" spans="1:15" x14ac:dyDescent="0.35">
      <c r="A114" s="2">
        <v>46147</v>
      </c>
      <c r="B114" t="s">
        <v>15</v>
      </c>
      <c r="C114" t="s">
        <v>28</v>
      </c>
      <c r="D114" t="s">
        <v>215</v>
      </c>
      <c r="E114" t="s">
        <v>216</v>
      </c>
      <c r="F114" s="3">
        <v>0.55208333333333337</v>
      </c>
      <c r="G114" s="4">
        <v>0.75</v>
      </c>
      <c r="H114" s="5" t="s">
        <v>19</v>
      </c>
      <c r="I114" t="s">
        <v>26</v>
      </c>
      <c r="J114" t="s">
        <v>24</v>
      </c>
      <c r="K114" t="s">
        <v>22</v>
      </c>
      <c r="L114" t="s">
        <v>43</v>
      </c>
      <c r="M114" t="s">
        <v>24</v>
      </c>
      <c r="N114">
        <f>IF(Table1[[#This Row],[Akhir]]&lt;Table1[[#This Row],[Awal]],(Table1[[#This Row],[Akhir]]+1)-Table1[[#This Row],[Awal]],Table1[[#This Row],[Akhir]]-Table1[[#This Row],[Awal]])*24</f>
        <v>4.7499999999999991</v>
      </c>
      <c r="O114" t="str">
        <f>IF(Table1[[#This Row],[Duration Real]]&gt;=6,"Major",
IF(Table1[[#This Row],[Duration Real]]&gt;=2,"Medium","Minor"))</f>
        <v>Medium</v>
      </c>
    </row>
    <row r="115" spans="1:15" x14ac:dyDescent="0.35">
      <c r="A115" s="2">
        <v>46147</v>
      </c>
      <c r="B115" t="s">
        <v>15</v>
      </c>
      <c r="C115" t="s">
        <v>28</v>
      </c>
      <c r="D115" t="s">
        <v>215</v>
      </c>
      <c r="E115" t="s">
        <v>217</v>
      </c>
      <c r="F115" s="3">
        <v>0.75</v>
      </c>
      <c r="G115" s="4">
        <v>0.13680555555555557</v>
      </c>
      <c r="H115" s="5" t="s">
        <v>19</v>
      </c>
      <c r="I115" t="s">
        <v>20</v>
      </c>
      <c r="J115" t="s">
        <v>24</v>
      </c>
      <c r="K115" t="s">
        <v>22</v>
      </c>
      <c r="L115" t="s">
        <v>43</v>
      </c>
      <c r="M115" t="s">
        <v>24</v>
      </c>
      <c r="N115">
        <f>IF(Table1[[#This Row],[Akhir]]&lt;Table1[[#This Row],[Awal]],(Table1[[#This Row],[Akhir]]+1)-Table1[[#This Row],[Awal]],Table1[[#This Row],[Akhir]]-Table1[[#This Row],[Awal]])*24</f>
        <v>9.283333333333335</v>
      </c>
      <c r="O115" t="str">
        <f>IF(Table1[[#This Row],[Duration Real]]&gt;=6,"Major",
IF(Table1[[#This Row],[Duration Real]]&gt;=2,"Medium","Minor"))</f>
        <v>Major</v>
      </c>
    </row>
    <row r="116" spans="1:15" x14ac:dyDescent="0.35">
      <c r="A116" s="2">
        <v>46147</v>
      </c>
      <c r="B116" t="s">
        <v>15</v>
      </c>
      <c r="C116" t="s">
        <v>36</v>
      </c>
      <c r="D116" t="s">
        <v>218</v>
      </c>
      <c r="E116" t="s">
        <v>219</v>
      </c>
      <c r="F116" s="3">
        <v>0.92083333333333328</v>
      </c>
      <c r="G116" s="4">
        <v>0.12430555555555556</v>
      </c>
      <c r="H116" s="5" t="s">
        <v>19</v>
      </c>
      <c r="I116" t="s">
        <v>20</v>
      </c>
      <c r="J116" t="s">
        <v>220</v>
      </c>
      <c r="K116" t="s">
        <v>46</v>
      </c>
      <c r="L116" t="s">
        <v>221</v>
      </c>
      <c r="M116" t="s">
        <v>24</v>
      </c>
      <c r="N116">
        <f>IF(Table1[[#This Row],[Akhir]]&lt;Table1[[#This Row],[Awal]],(Table1[[#This Row],[Akhir]]+1)-Table1[[#This Row],[Awal]],Table1[[#This Row],[Akhir]]-Table1[[#This Row],[Awal]])*24</f>
        <v>4.883333333333332</v>
      </c>
      <c r="O116" t="str">
        <f>IF(Table1[[#This Row],[Duration Real]]&gt;=6,"Major",
IF(Table1[[#This Row],[Duration Real]]&gt;=2,"Medium","Minor"))</f>
        <v>Medium</v>
      </c>
    </row>
    <row r="117" spans="1:15" x14ac:dyDescent="0.35">
      <c r="A117" s="2">
        <v>46147</v>
      </c>
      <c r="B117" t="s">
        <v>15</v>
      </c>
      <c r="C117" t="s">
        <v>36</v>
      </c>
      <c r="D117" t="s">
        <v>222</v>
      </c>
      <c r="E117" t="s">
        <v>223</v>
      </c>
      <c r="F117" s="3">
        <v>0.29791666666666666</v>
      </c>
      <c r="G117" s="4">
        <v>0.46736111111111112</v>
      </c>
      <c r="H117" s="5" t="s">
        <v>19</v>
      </c>
      <c r="I117" t="s">
        <v>26</v>
      </c>
      <c r="J117" t="s">
        <v>24</v>
      </c>
      <c r="K117" t="s">
        <v>22</v>
      </c>
      <c r="L117" t="s">
        <v>150</v>
      </c>
      <c r="M117" t="s">
        <v>24</v>
      </c>
      <c r="N117">
        <f>IF(Table1[[#This Row],[Akhir]]&lt;Table1[[#This Row],[Awal]],(Table1[[#This Row],[Akhir]]+1)-Table1[[#This Row],[Awal]],Table1[[#This Row],[Akhir]]-Table1[[#This Row],[Awal]])*24</f>
        <v>4.0666666666666664</v>
      </c>
      <c r="O117" t="str">
        <f>IF(Table1[[#This Row],[Duration Real]]&gt;=6,"Major",
IF(Table1[[#This Row],[Duration Real]]&gt;=2,"Medium","Minor"))</f>
        <v>Medium</v>
      </c>
    </row>
    <row r="118" spans="1:15" x14ac:dyDescent="0.35">
      <c r="A118" s="2">
        <v>46147</v>
      </c>
      <c r="B118" t="s">
        <v>15</v>
      </c>
      <c r="C118" t="s">
        <v>41</v>
      </c>
      <c r="D118" t="s">
        <v>42</v>
      </c>
      <c r="E118" t="s">
        <v>34</v>
      </c>
      <c r="F118" s="3">
        <v>0.25</v>
      </c>
      <c r="G118" s="4">
        <v>0.75</v>
      </c>
      <c r="H118" s="5" t="s">
        <v>19</v>
      </c>
      <c r="I118" t="s">
        <v>26</v>
      </c>
      <c r="J118" t="s">
        <v>24</v>
      </c>
      <c r="K118" t="s">
        <v>39</v>
      </c>
      <c r="L118" t="s">
        <v>43</v>
      </c>
      <c r="M118" t="s">
        <v>24</v>
      </c>
      <c r="N118">
        <f>IF(Table1[[#This Row],[Akhir]]&lt;Table1[[#This Row],[Awal]],(Table1[[#This Row],[Akhir]]+1)-Table1[[#This Row],[Awal]],Table1[[#This Row],[Akhir]]-Table1[[#This Row],[Awal]])*24</f>
        <v>12</v>
      </c>
      <c r="O118" t="str">
        <f>IF(Table1[[#This Row],[Duration Real]]&gt;=6,"Major",
IF(Table1[[#This Row],[Duration Real]]&gt;=2,"Medium","Minor"))</f>
        <v>Major</v>
      </c>
    </row>
    <row r="119" spans="1:15" x14ac:dyDescent="0.35">
      <c r="A119" s="2">
        <v>46147</v>
      </c>
      <c r="B119" t="s">
        <v>15</v>
      </c>
      <c r="C119" t="s">
        <v>41</v>
      </c>
      <c r="D119" t="s">
        <v>42</v>
      </c>
      <c r="E119" t="s">
        <v>34</v>
      </c>
      <c r="F119" s="3">
        <v>0.75</v>
      </c>
      <c r="G119" s="4">
        <v>0.25</v>
      </c>
      <c r="H119" s="5" t="s">
        <v>19</v>
      </c>
      <c r="I119" t="s">
        <v>20</v>
      </c>
      <c r="J119" t="s">
        <v>24</v>
      </c>
      <c r="K119" t="s">
        <v>39</v>
      </c>
      <c r="L119" t="s">
        <v>43</v>
      </c>
      <c r="M119" t="s">
        <v>24</v>
      </c>
      <c r="N119">
        <f>IF(Table1[[#This Row],[Akhir]]&lt;Table1[[#This Row],[Awal]],(Table1[[#This Row],[Akhir]]+1)-Table1[[#This Row],[Awal]],Table1[[#This Row],[Akhir]]-Table1[[#This Row],[Awal]])*24</f>
        <v>12</v>
      </c>
      <c r="O119" t="str">
        <f>IF(Table1[[#This Row],[Duration Real]]&gt;=6,"Major",
IF(Table1[[#This Row],[Duration Real]]&gt;=2,"Medium","Minor"))</f>
        <v>Major</v>
      </c>
    </row>
    <row r="120" spans="1:15" x14ac:dyDescent="0.35">
      <c r="A120" s="2">
        <v>46147</v>
      </c>
      <c r="B120" t="s">
        <v>15</v>
      </c>
      <c r="C120" t="s">
        <v>44</v>
      </c>
      <c r="D120" t="s">
        <v>45</v>
      </c>
      <c r="E120" t="s">
        <v>34</v>
      </c>
      <c r="F120" s="3">
        <v>0.75</v>
      </c>
      <c r="G120" s="4">
        <v>0.25</v>
      </c>
      <c r="H120" s="5" t="s">
        <v>19</v>
      </c>
      <c r="I120" t="s">
        <v>20</v>
      </c>
      <c r="J120" t="s">
        <v>24</v>
      </c>
      <c r="K120" t="s">
        <v>46</v>
      </c>
      <c r="L120" t="s">
        <v>47</v>
      </c>
      <c r="M120" t="s">
        <v>24</v>
      </c>
      <c r="N120">
        <f>IF(Table1[[#This Row],[Akhir]]&lt;Table1[[#This Row],[Awal]],(Table1[[#This Row],[Akhir]]+1)-Table1[[#This Row],[Awal]],Table1[[#This Row],[Akhir]]-Table1[[#This Row],[Awal]])*24</f>
        <v>12</v>
      </c>
      <c r="O120" t="str">
        <f>IF(Table1[[#This Row],[Duration Real]]&gt;=6,"Major",
IF(Table1[[#This Row],[Duration Real]]&gt;=2,"Medium","Minor"))</f>
        <v>Major</v>
      </c>
    </row>
    <row r="121" spans="1:15" x14ac:dyDescent="0.35">
      <c r="A121" s="2">
        <v>46147</v>
      </c>
      <c r="B121" t="s">
        <v>15</v>
      </c>
      <c r="C121" t="s">
        <v>52</v>
      </c>
      <c r="D121" t="s">
        <v>224</v>
      </c>
      <c r="E121" t="s">
        <v>225</v>
      </c>
      <c r="F121" s="3">
        <v>0.3527777777777778</v>
      </c>
      <c r="G121" s="4">
        <v>0.60972222222222228</v>
      </c>
      <c r="H121" s="5" t="s">
        <v>19</v>
      </c>
      <c r="I121" t="s">
        <v>26</v>
      </c>
      <c r="J121" t="s">
        <v>24</v>
      </c>
      <c r="K121" t="s">
        <v>22</v>
      </c>
      <c r="L121" t="s">
        <v>43</v>
      </c>
      <c r="M121" t="s">
        <v>24</v>
      </c>
      <c r="N121">
        <f>IF(Table1[[#This Row],[Akhir]]&lt;Table1[[#This Row],[Awal]],(Table1[[#This Row],[Akhir]]+1)-Table1[[#This Row],[Awal]],Table1[[#This Row],[Akhir]]-Table1[[#This Row],[Awal]])*24</f>
        <v>6.1666666666666679</v>
      </c>
      <c r="O121" t="str">
        <f>IF(Table1[[#This Row],[Duration Real]]&gt;=6,"Major",
IF(Table1[[#This Row],[Duration Real]]&gt;=2,"Medium","Minor"))</f>
        <v>Major</v>
      </c>
    </row>
    <row r="122" spans="1:15" x14ac:dyDescent="0.35">
      <c r="A122" s="2">
        <v>46147</v>
      </c>
      <c r="B122" t="s">
        <v>15</v>
      </c>
      <c r="C122" t="s">
        <v>52</v>
      </c>
      <c r="D122" t="s">
        <v>226</v>
      </c>
      <c r="E122" t="s">
        <v>227</v>
      </c>
      <c r="F122" s="3">
        <v>0.8930555555555556</v>
      </c>
      <c r="G122" s="4">
        <v>0.92638888888888893</v>
      </c>
      <c r="H122" s="5" t="s">
        <v>19</v>
      </c>
      <c r="I122" t="s">
        <v>20</v>
      </c>
      <c r="J122" t="s">
        <v>24</v>
      </c>
      <c r="K122" t="s">
        <v>39</v>
      </c>
      <c r="L122" t="s">
        <v>43</v>
      </c>
      <c r="M122" t="s">
        <v>24</v>
      </c>
      <c r="N122">
        <f>IF(Table1[[#This Row],[Akhir]]&lt;Table1[[#This Row],[Awal]],(Table1[[#This Row],[Akhir]]+1)-Table1[[#This Row],[Awal]],Table1[[#This Row],[Akhir]]-Table1[[#This Row],[Awal]])*24</f>
        <v>0.79999999999999982</v>
      </c>
      <c r="O122" t="str">
        <f>IF(Table1[[#This Row],[Duration Real]]&gt;=6,"Major",
IF(Table1[[#This Row],[Duration Real]]&gt;=2,"Medium","Minor"))</f>
        <v>Minor</v>
      </c>
    </row>
    <row r="123" spans="1:15" x14ac:dyDescent="0.35">
      <c r="A123" s="2">
        <v>46147</v>
      </c>
      <c r="B123" t="s">
        <v>15</v>
      </c>
      <c r="C123" t="s">
        <v>52</v>
      </c>
      <c r="D123" t="s">
        <v>228</v>
      </c>
      <c r="E123" t="s">
        <v>229</v>
      </c>
      <c r="F123" s="3">
        <v>0.28472222222222221</v>
      </c>
      <c r="G123" s="4">
        <v>0.3527777777777778</v>
      </c>
      <c r="H123" s="5" t="s">
        <v>19</v>
      </c>
      <c r="I123" t="s">
        <v>26</v>
      </c>
      <c r="J123" t="s">
        <v>24</v>
      </c>
      <c r="K123" t="s">
        <v>22</v>
      </c>
      <c r="L123" t="s">
        <v>143</v>
      </c>
      <c r="M123" t="s">
        <v>24</v>
      </c>
      <c r="N123">
        <f>IF(Table1[[#This Row],[Akhir]]&lt;Table1[[#This Row],[Awal]],(Table1[[#This Row],[Akhir]]+1)-Table1[[#This Row],[Awal]],Table1[[#This Row],[Akhir]]-Table1[[#This Row],[Awal]])*24</f>
        <v>1.6333333333333342</v>
      </c>
      <c r="O123" t="str">
        <f>IF(Table1[[#This Row],[Duration Real]]&gt;=6,"Major",
IF(Table1[[#This Row],[Duration Real]]&gt;=2,"Medium","Minor"))</f>
        <v>Minor</v>
      </c>
    </row>
    <row r="124" spans="1:15" x14ac:dyDescent="0.35">
      <c r="A124" s="2">
        <v>46147</v>
      </c>
      <c r="B124" t="s">
        <v>15</v>
      </c>
      <c r="C124" t="s">
        <v>230</v>
      </c>
      <c r="D124" t="s">
        <v>231</v>
      </c>
      <c r="E124" t="s">
        <v>232</v>
      </c>
      <c r="F124" s="3">
        <v>0.75</v>
      </c>
      <c r="G124" s="4">
        <v>0.82430555555555551</v>
      </c>
      <c r="H124" s="5" t="s">
        <v>19</v>
      </c>
      <c r="I124" t="s">
        <v>20</v>
      </c>
      <c r="J124" t="s">
        <v>24</v>
      </c>
      <c r="K124" t="s">
        <v>39</v>
      </c>
      <c r="L124" t="s">
        <v>43</v>
      </c>
      <c r="M124" t="s">
        <v>24</v>
      </c>
      <c r="N124">
        <f>IF(Table1[[#This Row],[Akhir]]&lt;Table1[[#This Row],[Awal]],(Table1[[#This Row],[Akhir]]+1)-Table1[[#This Row],[Awal]],Table1[[#This Row],[Akhir]]-Table1[[#This Row],[Awal]])*24</f>
        <v>1.7833333333333323</v>
      </c>
      <c r="O124" t="str">
        <f>IF(Table1[[#This Row],[Duration Real]]&gt;=6,"Major",
IF(Table1[[#This Row],[Duration Real]]&gt;=2,"Medium","Minor"))</f>
        <v>Minor</v>
      </c>
    </row>
    <row r="125" spans="1:15" x14ac:dyDescent="0.35">
      <c r="A125" s="2">
        <v>46147</v>
      </c>
      <c r="B125" t="s">
        <v>15</v>
      </c>
      <c r="C125" t="s">
        <v>230</v>
      </c>
      <c r="D125" t="s">
        <v>233</v>
      </c>
      <c r="E125" t="s">
        <v>234</v>
      </c>
      <c r="F125" s="3">
        <v>0.3611111111111111</v>
      </c>
      <c r="G125" s="4">
        <v>0.53194444444444444</v>
      </c>
      <c r="H125" s="5" t="s">
        <v>19</v>
      </c>
      <c r="I125" t="s">
        <v>26</v>
      </c>
      <c r="J125" t="s">
        <v>24</v>
      </c>
      <c r="K125" t="s">
        <v>22</v>
      </c>
      <c r="L125" t="s">
        <v>235</v>
      </c>
      <c r="M125" t="s">
        <v>24</v>
      </c>
      <c r="N125">
        <f>IF(Table1[[#This Row],[Akhir]]&lt;Table1[[#This Row],[Awal]],(Table1[[#This Row],[Akhir]]+1)-Table1[[#This Row],[Awal]],Table1[[#This Row],[Akhir]]-Table1[[#This Row],[Awal]])*24</f>
        <v>4.0999999999999996</v>
      </c>
      <c r="O125" t="str">
        <f>IF(Table1[[#This Row],[Duration Real]]&gt;=6,"Major",
IF(Table1[[#This Row],[Duration Real]]&gt;=2,"Medium","Minor"))</f>
        <v>Medium</v>
      </c>
    </row>
    <row r="126" spans="1:15" x14ac:dyDescent="0.35">
      <c r="A126" s="2">
        <v>46147</v>
      </c>
      <c r="B126" t="s">
        <v>15</v>
      </c>
      <c r="C126" t="s">
        <v>230</v>
      </c>
      <c r="D126" t="s">
        <v>190</v>
      </c>
      <c r="E126" t="s">
        <v>18</v>
      </c>
      <c r="F126" s="3">
        <v>0.28541666666666665</v>
      </c>
      <c r="G126" s="4">
        <v>0.33611111111111114</v>
      </c>
      <c r="H126" s="5" t="s">
        <v>19</v>
      </c>
      <c r="I126" t="s">
        <v>26</v>
      </c>
      <c r="J126" t="s">
        <v>24</v>
      </c>
      <c r="K126" t="s">
        <v>22</v>
      </c>
      <c r="L126" t="s">
        <v>31</v>
      </c>
      <c r="M126" t="s">
        <v>24</v>
      </c>
      <c r="N126">
        <f>IF(Table1[[#This Row],[Akhir]]&lt;Table1[[#This Row],[Awal]],(Table1[[#This Row],[Akhir]]+1)-Table1[[#This Row],[Awal]],Table1[[#This Row],[Akhir]]-Table1[[#This Row],[Awal]])*24</f>
        <v>1.2166666666666677</v>
      </c>
      <c r="O126" t="str">
        <f>IF(Table1[[#This Row],[Duration Real]]&gt;=6,"Major",
IF(Table1[[#This Row],[Duration Real]]&gt;=2,"Medium","Minor"))</f>
        <v>Minor</v>
      </c>
    </row>
    <row r="127" spans="1:15" x14ac:dyDescent="0.35">
      <c r="A127" s="2">
        <v>46147</v>
      </c>
      <c r="B127" t="s">
        <v>15</v>
      </c>
      <c r="C127" t="s">
        <v>230</v>
      </c>
      <c r="D127" t="s">
        <v>236</v>
      </c>
      <c r="E127" t="s">
        <v>237</v>
      </c>
      <c r="F127" s="3">
        <v>0.56180555555555556</v>
      </c>
      <c r="G127" s="4">
        <v>0.75</v>
      </c>
      <c r="H127" s="5" t="s">
        <v>19</v>
      </c>
      <c r="I127" t="s">
        <v>26</v>
      </c>
      <c r="J127" t="s">
        <v>24</v>
      </c>
      <c r="K127" t="s">
        <v>39</v>
      </c>
      <c r="L127" t="s">
        <v>43</v>
      </c>
      <c r="M127" t="s">
        <v>24</v>
      </c>
      <c r="N127">
        <f>IF(Table1[[#This Row],[Akhir]]&lt;Table1[[#This Row],[Awal]],(Table1[[#This Row],[Akhir]]+1)-Table1[[#This Row],[Awal]],Table1[[#This Row],[Akhir]]-Table1[[#This Row],[Awal]])*24</f>
        <v>4.5166666666666666</v>
      </c>
      <c r="O127" t="str">
        <f>IF(Table1[[#This Row],[Duration Real]]&gt;=6,"Major",
IF(Table1[[#This Row],[Duration Real]]&gt;=2,"Medium","Minor"))</f>
        <v>Medium</v>
      </c>
    </row>
    <row r="128" spans="1:15" x14ac:dyDescent="0.35">
      <c r="A128" s="2">
        <v>46147</v>
      </c>
      <c r="B128" t="s">
        <v>15</v>
      </c>
      <c r="C128" t="s">
        <v>64</v>
      </c>
      <c r="D128" t="s">
        <v>238</v>
      </c>
      <c r="E128" t="s">
        <v>239</v>
      </c>
      <c r="F128" s="3">
        <v>0.69027777777777777</v>
      </c>
      <c r="G128" s="4">
        <v>0.75</v>
      </c>
      <c r="H128" s="5" t="s">
        <v>19</v>
      </c>
      <c r="I128" t="s">
        <v>26</v>
      </c>
      <c r="J128" t="s">
        <v>24</v>
      </c>
      <c r="K128" t="s">
        <v>46</v>
      </c>
      <c r="L128" t="s">
        <v>67</v>
      </c>
      <c r="M128" t="s">
        <v>24</v>
      </c>
      <c r="N128">
        <f>IF(Table1[[#This Row],[Akhir]]&lt;Table1[[#This Row],[Awal]],(Table1[[#This Row],[Akhir]]+1)-Table1[[#This Row],[Awal]],Table1[[#This Row],[Akhir]]-Table1[[#This Row],[Awal]])*24</f>
        <v>1.4333333333333336</v>
      </c>
      <c r="O128" t="str">
        <f>IF(Table1[[#This Row],[Duration Real]]&gt;=6,"Major",
IF(Table1[[#This Row],[Duration Real]]&gt;=2,"Medium","Minor"))</f>
        <v>Minor</v>
      </c>
    </row>
    <row r="129" spans="1:15" x14ac:dyDescent="0.35">
      <c r="A129" s="2">
        <v>46147</v>
      </c>
      <c r="B129" t="s">
        <v>15</v>
      </c>
      <c r="C129" t="s">
        <v>64</v>
      </c>
      <c r="D129" t="s">
        <v>238</v>
      </c>
      <c r="E129" t="s">
        <v>240</v>
      </c>
      <c r="F129" s="3">
        <v>0.75</v>
      </c>
      <c r="G129" s="4">
        <v>0.8881944444444444</v>
      </c>
      <c r="H129" s="5" t="s">
        <v>19</v>
      </c>
      <c r="I129" t="s">
        <v>20</v>
      </c>
      <c r="J129" t="s">
        <v>24</v>
      </c>
      <c r="K129" t="s">
        <v>46</v>
      </c>
      <c r="L129" t="s">
        <v>67</v>
      </c>
      <c r="M129" t="s">
        <v>24</v>
      </c>
      <c r="N129">
        <f>IF(Table1[[#This Row],[Akhir]]&lt;Table1[[#This Row],[Awal]],(Table1[[#This Row],[Akhir]]+1)-Table1[[#This Row],[Awal]],Table1[[#This Row],[Akhir]]-Table1[[#This Row],[Awal]])*24</f>
        <v>3.3166666666666655</v>
      </c>
      <c r="O129" t="str">
        <f>IF(Table1[[#This Row],[Duration Real]]&gt;=6,"Major",
IF(Table1[[#This Row],[Duration Real]]&gt;=2,"Medium","Minor"))</f>
        <v>Medium</v>
      </c>
    </row>
    <row r="130" spans="1:15" x14ac:dyDescent="0.35">
      <c r="A130" s="2">
        <v>46147</v>
      </c>
      <c r="B130" t="s">
        <v>15</v>
      </c>
      <c r="C130" t="s">
        <v>76</v>
      </c>
      <c r="D130" t="s">
        <v>241</v>
      </c>
      <c r="E130" t="s">
        <v>242</v>
      </c>
      <c r="F130" s="3">
        <v>0.25</v>
      </c>
      <c r="G130" s="4">
        <v>0.49166666666666664</v>
      </c>
      <c r="H130" s="5" t="s">
        <v>19</v>
      </c>
      <c r="I130" t="s">
        <v>26</v>
      </c>
      <c r="J130" t="s">
        <v>243</v>
      </c>
      <c r="K130" t="s">
        <v>22</v>
      </c>
      <c r="L130" t="s">
        <v>84</v>
      </c>
      <c r="M130" t="s">
        <v>24</v>
      </c>
      <c r="N130">
        <f>IF(Table1[[#This Row],[Akhir]]&lt;Table1[[#This Row],[Awal]],(Table1[[#This Row],[Akhir]]+1)-Table1[[#This Row],[Awal]],Table1[[#This Row],[Akhir]]-Table1[[#This Row],[Awal]])*24</f>
        <v>5.7999999999999989</v>
      </c>
      <c r="O130" t="str">
        <f>IF(Table1[[#This Row],[Duration Real]]&gt;=6,"Major",
IF(Table1[[#This Row],[Duration Real]]&gt;=2,"Medium","Minor"))</f>
        <v>Medium</v>
      </c>
    </row>
    <row r="131" spans="1:15" x14ac:dyDescent="0.35">
      <c r="A131" s="2">
        <v>46147</v>
      </c>
      <c r="B131" t="s">
        <v>15</v>
      </c>
      <c r="C131" t="s">
        <v>76</v>
      </c>
      <c r="D131" t="s">
        <v>244</v>
      </c>
      <c r="E131" t="s">
        <v>245</v>
      </c>
      <c r="F131" s="3">
        <v>0.70486111111111116</v>
      </c>
      <c r="G131" s="4">
        <v>0.75</v>
      </c>
      <c r="H131" s="5" t="s">
        <v>19</v>
      </c>
      <c r="I131" t="s">
        <v>26</v>
      </c>
      <c r="J131" t="s">
        <v>246</v>
      </c>
      <c r="K131" t="s">
        <v>83</v>
      </c>
      <c r="L131" t="s">
        <v>84</v>
      </c>
      <c r="M131" t="s">
        <v>24</v>
      </c>
      <c r="N131">
        <f>IF(Table1[[#This Row],[Akhir]]&lt;Table1[[#This Row],[Awal]],(Table1[[#This Row],[Akhir]]+1)-Table1[[#This Row],[Awal]],Table1[[#This Row],[Akhir]]-Table1[[#This Row],[Awal]])*24</f>
        <v>1.0833333333333321</v>
      </c>
      <c r="O131" t="str">
        <f>IF(Table1[[#This Row],[Duration Real]]&gt;=6,"Major",
IF(Table1[[#This Row],[Duration Real]]&gt;=2,"Medium","Minor"))</f>
        <v>Minor</v>
      </c>
    </row>
    <row r="132" spans="1:15" x14ac:dyDescent="0.35">
      <c r="A132" s="2">
        <v>46147</v>
      </c>
      <c r="B132" t="s">
        <v>15</v>
      </c>
      <c r="C132" t="s">
        <v>76</v>
      </c>
      <c r="D132" t="s">
        <v>244</v>
      </c>
      <c r="E132" t="s">
        <v>247</v>
      </c>
      <c r="F132" s="3">
        <v>0.75</v>
      </c>
      <c r="G132" s="4">
        <v>0.81874999999999998</v>
      </c>
      <c r="H132" s="5" t="s">
        <v>19</v>
      </c>
      <c r="I132" t="s">
        <v>20</v>
      </c>
      <c r="J132" t="s">
        <v>246</v>
      </c>
      <c r="K132" t="s">
        <v>83</v>
      </c>
      <c r="L132" t="s">
        <v>84</v>
      </c>
      <c r="M132" t="s">
        <v>24</v>
      </c>
      <c r="N132">
        <f>IF(Table1[[#This Row],[Akhir]]&lt;Table1[[#This Row],[Awal]],(Table1[[#This Row],[Akhir]]+1)-Table1[[#This Row],[Awal]],Table1[[#This Row],[Akhir]]-Table1[[#This Row],[Awal]])*24</f>
        <v>1.6499999999999995</v>
      </c>
      <c r="O132" t="str">
        <f>IF(Table1[[#This Row],[Duration Real]]&gt;=6,"Major",
IF(Table1[[#This Row],[Duration Real]]&gt;=2,"Medium","Minor"))</f>
        <v>Minor</v>
      </c>
    </row>
    <row r="133" spans="1:15" x14ac:dyDescent="0.35">
      <c r="A133" s="2">
        <v>46147</v>
      </c>
      <c r="B133" t="s">
        <v>15</v>
      </c>
      <c r="C133" t="s">
        <v>76</v>
      </c>
      <c r="D133" t="s">
        <v>248</v>
      </c>
      <c r="E133" t="s">
        <v>249</v>
      </c>
      <c r="F133" s="3">
        <v>0.66319444444444442</v>
      </c>
      <c r="G133" s="4">
        <v>0.69236111111111109</v>
      </c>
      <c r="H133" s="5" t="s">
        <v>19</v>
      </c>
      <c r="I133" t="s">
        <v>26</v>
      </c>
      <c r="J133" t="s">
        <v>250</v>
      </c>
      <c r="K133" t="s">
        <v>83</v>
      </c>
      <c r="L133" t="s">
        <v>84</v>
      </c>
      <c r="M133" t="s">
        <v>24</v>
      </c>
      <c r="N133">
        <f>IF(Table1[[#This Row],[Akhir]]&lt;Table1[[#This Row],[Awal]],(Table1[[#This Row],[Akhir]]+1)-Table1[[#This Row],[Awal]],Table1[[#This Row],[Akhir]]-Table1[[#This Row],[Awal]])*24</f>
        <v>0.70000000000000018</v>
      </c>
      <c r="O133" t="str">
        <f>IF(Table1[[#This Row],[Duration Real]]&gt;=6,"Major",
IF(Table1[[#This Row],[Duration Real]]&gt;=2,"Medium","Minor"))</f>
        <v>Minor</v>
      </c>
    </row>
    <row r="134" spans="1:15" x14ac:dyDescent="0.35">
      <c r="A134" s="2">
        <v>46147</v>
      </c>
      <c r="B134" t="s">
        <v>15</v>
      </c>
      <c r="C134" t="s">
        <v>85</v>
      </c>
      <c r="D134" t="s">
        <v>86</v>
      </c>
      <c r="E134" t="s">
        <v>34</v>
      </c>
      <c r="F134" s="3">
        <v>0.75</v>
      </c>
      <c r="G134" s="4">
        <v>0.25</v>
      </c>
      <c r="H134" s="5" t="s">
        <v>19</v>
      </c>
      <c r="I134" t="s">
        <v>20</v>
      </c>
      <c r="J134" t="s">
        <v>24</v>
      </c>
      <c r="K134" t="s">
        <v>22</v>
      </c>
      <c r="L134" t="s">
        <v>87</v>
      </c>
      <c r="M134" t="s">
        <v>24</v>
      </c>
      <c r="N134">
        <f>IF(Table1[[#This Row],[Akhir]]&lt;Table1[[#This Row],[Awal]],(Table1[[#This Row],[Akhir]]+1)-Table1[[#This Row],[Awal]],Table1[[#This Row],[Akhir]]-Table1[[#This Row],[Awal]])*24</f>
        <v>12</v>
      </c>
      <c r="O134" t="str">
        <f>IF(Table1[[#This Row],[Duration Real]]&gt;=6,"Major",
IF(Table1[[#This Row],[Duration Real]]&gt;=2,"Medium","Minor"))</f>
        <v>Major</v>
      </c>
    </row>
    <row r="135" spans="1:15" x14ac:dyDescent="0.35">
      <c r="A135" s="2">
        <v>46147</v>
      </c>
      <c r="B135" t="s">
        <v>15</v>
      </c>
      <c r="C135" t="s">
        <v>88</v>
      </c>
      <c r="D135" t="s">
        <v>187</v>
      </c>
      <c r="E135" t="s">
        <v>34</v>
      </c>
      <c r="F135" s="3">
        <v>0.25</v>
      </c>
      <c r="G135" s="4">
        <v>0.75</v>
      </c>
      <c r="H135" s="5" t="s">
        <v>19</v>
      </c>
      <c r="I135" t="s">
        <v>26</v>
      </c>
      <c r="J135" t="s">
        <v>24</v>
      </c>
      <c r="K135" t="s">
        <v>22</v>
      </c>
      <c r="L135" t="s">
        <v>188</v>
      </c>
      <c r="M135" t="s">
        <v>24</v>
      </c>
      <c r="N135">
        <f>IF(Table1[[#This Row],[Akhir]]&lt;Table1[[#This Row],[Awal]],(Table1[[#This Row],[Akhir]]+1)-Table1[[#This Row],[Awal]],Table1[[#This Row],[Akhir]]-Table1[[#This Row],[Awal]])*24</f>
        <v>12</v>
      </c>
      <c r="O135" t="str">
        <f>IF(Table1[[#This Row],[Duration Real]]&gt;=6,"Major",
IF(Table1[[#This Row],[Duration Real]]&gt;=2,"Medium","Minor"))</f>
        <v>Major</v>
      </c>
    </row>
    <row r="136" spans="1:15" x14ac:dyDescent="0.35">
      <c r="A136" s="2">
        <v>46147</v>
      </c>
      <c r="B136" t="s">
        <v>15</v>
      </c>
      <c r="C136" t="s">
        <v>88</v>
      </c>
      <c r="D136" t="s">
        <v>187</v>
      </c>
      <c r="E136" t="s">
        <v>251</v>
      </c>
      <c r="F136" s="3">
        <v>0.75</v>
      </c>
      <c r="G136" s="4">
        <v>0.10416666666666667</v>
      </c>
      <c r="H136" s="5" t="s">
        <v>19</v>
      </c>
      <c r="I136" t="s">
        <v>20</v>
      </c>
      <c r="J136" t="s">
        <v>24</v>
      </c>
      <c r="K136" t="s">
        <v>22</v>
      </c>
      <c r="L136" t="s">
        <v>188</v>
      </c>
      <c r="M136" t="s">
        <v>24</v>
      </c>
      <c r="N136">
        <f>IF(Table1[[#This Row],[Akhir]]&lt;Table1[[#This Row],[Awal]],(Table1[[#This Row],[Akhir]]+1)-Table1[[#This Row],[Awal]],Table1[[#This Row],[Akhir]]-Table1[[#This Row],[Awal]])*24</f>
        <v>8.5000000000000018</v>
      </c>
      <c r="O136" t="str">
        <f>IF(Table1[[#This Row],[Duration Real]]&gt;=6,"Major",
IF(Table1[[#This Row],[Duration Real]]&gt;=2,"Medium","Minor"))</f>
        <v>Major</v>
      </c>
    </row>
    <row r="137" spans="1:15" x14ac:dyDescent="0.35">
      <c r="A137" s="2">
        <v>46147</v>
      </c>
      <c r="B137" t="s">
        <v>94</v>
      </c>
      <c r="C137" t="s">
        <v>95</v>
      </c>
      <c r="D137" t="s">
        <v>252</v>
      </c>
      <c r="E137" t="s">
        <v>216</v>
      </c>
      <c r="F137" s="3">
        <v>0.33402777777777776</v>
      </c>
      <c r="G137" s="4">
        <v>0.53194444444444444</v>
      </c>
      <c r="H137" s="5" t="s">
        <v>19</v>
      </c>
      <c r="I137" t="s">
        <v>26</v>
      </c>
      <c r="J137" t="s">
        <v>253</v>
      </c>
      <c r="K137" t="s">
        <v>22</v>
      </c>
      <c r="L137" t="s">
        <v>43</v>
      </c>
      <c r="M137" t="s">
        <v>24</v>
      </c>
      <c r="N137">
        <f>IF(Table1[[#This Row],[Akhir]]&lt;Table1[[#This Row],[Awal]],(Table1[[#This Row],[Akhir]]+1)-Table1[[#This Row],[Awal]],Table1[[#This Row],[Akhir]]-Table1[[#This Row],[Awal]])*24</f>
        <v>4.75</v>
      </c>
      <c r="O137" t="str">
        <f>IF(Table1[[#This Row],[Duration Real]]&gt;=6,"Major",
IF(Table1[[#This Row],[Duration Real]]&gt;=2,"Medium","Minor"))</f>
        <v>Medium</v>
      </c>
    </row>
    <row r="138" spans="1:15" x14ac:dyDescent="0.35">
      <c r="A138" s="2">
        <v>46147</v>
      </c>
      <c r="B138" t="s">
        <v>94</v>
      </c>
      <c r="C138" t="s">
        <v>95</v>
      </c>
      <c r="D138" t="s">
        <v>254</v>
      </c>
      <c r="E138" t="s">
        <v>255</v>
      </c>
      <c r="F138" s="3">
        <v>0.54652777777777772</v>
      </c>
      <c r="G138" s="4">
        <v>0.59791666666666665</v>
      </c>
      <c r="H138" s="5" t="s">
        <v>19</v>
      </c>
      <c r="I138" t="s">
        <v>26</v>
      </c>
      <c r="J138" t="s">
        <v>253</v>
      </c>
      <c r="K138" t="s">
        <v>22</v>
      </c>
      <c r="L138" t="s">
        <v>256</v>
      </c>
      <c r="M138" t="s">
        <v>24</v>
      </c>
      <c r="N138">
        <f>IF(Table1[[#This Row],[Akhir]]&lt;Table1[[#This Row],[Awal]],(Table1[[#This Row],[Akhir]]+1)-Table1[[#This Row],[Awal]],Table1[[#This Row],[Akhir]]-Table1[[#This Row],[Awal]])*24</f>
        <v>1.2333333333333343</v>
      </c>
      <c r="O138" t="str">
        <f>IF(Table1[[#This Row],[Duration Real]]&gt;=6,"Major",
IF(Table1[[#This Row],[Duration Real]]&gt;=2,"Medium","Minor"))</f>
        <v>Minor</v>
      </c>
    </row>
    <row r="139" spans="1:15" x14ac:dyDescent="0.35">
      <c r="A139" s="2">
        <v>46147</v>
      </c>
      <c r="B139" t="s">
        <v>94</v>
      </c>
      <c r="C139" t="s">
        <v>95</v>
      </c>
      <c r="D139" t="s">
        <v>228</v>
      </c>
      <c r="E139" t="s">
        <v>257</v>
      </c>
      <c r="F139" s="3">
        <v>0.28125</v>
      </c>
      <c r="G139" s="4">
        <v>0.29930555555555555</v>
      </c>
      <c r="H139" s="5" t="s">
        <v>19</v>
      </c>
      <c r="I139" t="s">
        <v>26</v>
      </c>
      <c r="J139" t="s">
        <v>24</v>
      </c>
      <c r="K139" t="s">
        <v>22</v>
      </c>
      <c r="L139" t="s">
        <v>143</v>
      </c>
      <c r="M139" t="s">
        <v>24</v>
      </c>
      <c r="N139">
        <f>IF(Table1[[#This Row],[Akhir]]&lt;Table1[[#This Row],[Awal]],(Table1[[#This Row],[Akhir]]+1)-Table1[[#This Row],[Awal]],Table1[[#This Row],[Akhir]]-Table1[[#This Row],[Awal]])*24</f>
        <v>0.43333333333333313</v>
      </c>
      <c r="O139" t="str">
        <f>IF(Table1[[#This Row],[Duration Real]]&gt;=6,"Major",
IF(Table1[[#This Row],[Duration Real]]&gt;=2,"Medium","Minor"))</f>
        <v>Minor</v>
      </c>
    </row>
    <row r="140" spans="1:15" x14ac:dyDescent="0.35">
      <c r="A140" s="2">
        <v>46147</v>
      </c>
      <c r="B140" t="s">
        <v>94</v>
      </c>
      <c r="C140" t="s">
        <v>99</v>
      </c>
      <c r="D140" t="s">
        <v>96</v>
      </c>
      <c r="E140" t="s">
        <v>258</v>
      </c>
      <c r="F140" s="3">
        <v>0.75</v>
      </c>
      <c r="G140" s="4">
        <v>0.82986111111111116</v>
      </c>
      <c r="H140" s="5" t="s">
        <v>19</v>
      </c>
      <c r="I140" t="s">
        <v>20</v>
      </c>
      <c r="J140" t="s">
        <v>24</v>
      </c>
      <c r="K140" t="s">
        <v>39</v>
      </c>
      <c r="L140" t="s">
        <v>143</v>
      </c>
      <c r="M140" t="s">
        <v>24</v>
      </c>
      <c r="N140">
        <f>IF(Table1[[#This Row],[Akhir]]&lt;Table1[[#This Row],[Awal]],(Table1[[#This Row],[Akhir]]+1)-Table1[[#This Row],[Awal]],Table1[[#This Row],[Akhir]]-Table1[[#This Row],[Awal]])*24</f>
        <v>1.9166666666666679</v>
      </c>
      <c r="O140" t="str">
        <f>IF(Table1[[#This Row],[Duration Real]]&gt;=6,"Major",
IF(Table1[[#This Row],[Duration Real]]&gt;=2,"Medium","Minor"))</f>
        <v>Minor</v>
      </c>
    </row>
    <row r="141" spans="1:15" x14ac:dyDescent="0.35">
      <c r="A141" s="2">
        <v>46147</v>
      </c>
      <c r="B141" t="s">
        <v>94</v>
      </c>
      <c r="C141" t="s">
        <v>99</v>
      </c>
      <c r="D141" t="s">
        <v>96</v>
      </c>
      <c r="E141" t="s">
        <v>259</v>
      </c>
      <c r="F141" s="3">
        <v>0.54722222222222228</v>
      </c>
      <c r="G141" s="4">
        <v>0.75</v>
      </c>
      <c r="H141" s="5" t="s">
        <v>19</v>
      </c>
      <c r="I141" t="s">
        <v>26</v>
      </c>
      <c r="J141" t="s">
        <v>24</v>
      </c>
      <c r="K141" t="s">
        <v>39</v>
      </c>
      <c r="L141" t="s">
        <v>143</v>
      </c>
      <c r="M141" t="s">
        <v>24</v>
      </c>
      <c r="N141">
        <f>IF(Table1[[#This Row],[Akhir]]&lt;Table1[[#This Row],[Awal]],(Table1[[#This Row],[Akhir]]+1)-Table1[[#This Row],[Awal]],Table1[[#This Row],[Akhir]]-Table1[[#This Row],[Awal]])*24</f>
        <v>4.8666666666666654</v>
      </c>
      <c r="O141" t="str">
        <f>IF(Table1[[#This Row],[Duration Real]]&gt;=6,"Major",
IF(Table1[[#This Row],[Duration Real]]&gt;=2,"Medium","Minor"))</f>
        <v>Medium</v>
      </c>
    </row>
    <row r="142" spans="1:15" x14ac:dyDescent="0.35">
      <c r="A142" s="2">
        <v>46147</v>
      </c>
      <c r="B142" t="s">
        <v>94</v>
      </c>
      <c r="C142" t="s">
        <v>99</v>
      </c>
      <c r="D142" t="s">
        <v>228</v>
      </c>
      <c r="E142" t="s">
        <v>257</v>
      </c>
      <c r="F142" s="3">
        <v>0.28125</v>
      </c>
      <c r="G142" s="4">
        <v>0.29930555555555555</v>
      </c>
      <c r="H142" s="5" t="s">
        <v>19</v>
      </c>
      <c r="I142" t="s">
        <v>26</v>
      </c>
      <c r="J142" t="s">
        <v>24</v>
      </c>
      <c r="K142" t="s">
        <v>22</v>
      </c>
      <c r="L142" t="s">
        <v>143</v>
      </c>
      <c r="M142" t="s">
        <v>24</v>
      </c>
      <c r="N142">
        <f>IF(Table1[[#This Row],[Akhir]]&lt;Table1[[#This Row],[Awal]],(Table1[[#This Row],[Akhir]]+1)-Table1[[#This Row],[Awal]],Table1[[#This Row],[Akhir]]-Table1[[#This Row],[Awal]])*24</f>
        <v>0.43333333333333313</v>
      </c>
      <c r="O142" t="str">
        <f>IF(Table1[[#This Row],[Duration Real]]&gt;=6,"Major",
IF(Table1[[#This Row],[Duration Real]]&gt;=2,"Medium","Minor"))</f>
        <v>Minor</v>
      </c>
    </row>
    <row r="143" spans="1:15" x14ac:dyDescent="0.35">
      <c r="A143" s="2">
        <v>46147</v>
      </c>
      <c r="B143" t="s">
        <v>94</v>
      </c>
      <c r="C143" t="s">
        <v>204</v>
      </c>
      <c r="D143" t="s">
        <v>205</v>
      </c>
      <c r="E143" t="s">
        <v>34</v>
      </c>
      <c r="F143" s="3">
        <v>0.25</v>
      </c>
      <c r="G143" s="4">
        <v>0.75</v>
      </c>
      <c r="H143" s="5" t="s">
        <v>19</v>
      </c>
      <c r="I143" t="s">
        <v>26</v>
      </c>
      <c r="J143" t="s">
        <v>207</v>
      </c>
      <c r="K143" t="s">
        <v>39</v>
      </c>
      <c r="L143" t="s">
        <v>23</v>
      </c>
      <c r="M143" t="s">
        <v>24</v>
      </c>
      <c r="N143">
        <f>IF(Table1[[#This Row],[Akhir]]&lt;Table1[[#This Row],[Awal]],(Table1[[#This Row],[Akhir]]+1)-Table1[[#This Row],[Awal]],Table1[[#This Row],[Akhir]]-Table1[[#This Row],[Awal]])*24</f>
        <v>12</v>
      </c>
      <c r="O143" t="str">
        <f>IF(Table1[[#This Row],[Duration Real]]&gt;=6,"Major",
IF(Table1[[#This Row],[Duration Real]]&gt;=2,"Medium","Minor"))</f>
        <v>Major</v>
      </c>
    </row>
    <row r="144" spans="1:15" x14ac:dyDescent="0.35">
      <c r="A144" s="2">
        <v>46147</v>
      </c>
      <c r="B144" t="s">
        <v>94</v>
      </c>
      <c r="C144" t="s">
        <v>204</v>
      </c>
      <c r="D144" t="s">
        <v>205</v>
      </c>
      <c r="E144" t="s">
        <v>34</v>
      </c>
      <c r="F144" s="3">
        <v>0.75</v>
      </c>
      <c r="G144" s="4">
        <v>0.25</v>
      </c>
      <c r="H144" s="5" t="s">
        <v>19</v>
      </c>
      <c r="I144" t="s">
        <v>20</v>
      </c>
      <c r="J144" t="s">
        <v>207</v>
      </c>
      <c r="K144" t="s">
        <v>39</v>
      </c>
      <c r="L144" t="s">
        <v>23</v>
      </c>
      <c r="M144" t="s">
        <v>24</v>
      </c>
      <c r="N144">
        <f>IF(Table1[[#This Row],[Akhir]]&lt;Table1[[#This Row],[Awal]],(Table1[[#This Row],[Akhir]]+1)-Table1[[#This Row],[Awal]],Table1[[#This Row],[Akhir]]-Table1[[#This Row],[Awal]])*24</f>
        <v>12</v>
      </c>
      <c r="O144" t="str">
        <f>IF(Table1[[#This Row],[Duration Real]]&gt;=6,"Major",
IF(Table1[[#This Row],[Duration Real]]&gt;=2,"Medium","Minor"))</f>
        <v>Major</v>
      </c>
    </row>
    <row r="145" spans="1:15" x14ac:dyDescent="0.35">
      <c r="A145" s="2">
        <v>46147</v>
      </c>
      <c r="B145" t="s">
        <v>94</v>
      </c>
      <c r="C145" t="s">
        <v>101</v>
      </c>
      <c r="D145" t="s">
        <v>102</v>
      </c>
      <c r="E145" t="s">
        <v>34</v>
      </c>
      <c r="F145" s="3">
        <v>0.25</v>
      </c>
      <c r="G145" s="4">
        <v>0.75</v>
      </c>
      <c r="H145" s="5" t="s">
        <v>19</v>
      </c>
      <c r="I145" t="s">
        <v>26</v>
      </c>
      <c r="J145" t="s">
        <v>24</v>
      </c>
      <c r="K145" t="s">
        <v>22</v>
      </c>
      <c r="L145" t="s">
        <v>23</v>
      </c>
      <c r="M145" t="s">
        <v>24</v>
      </c>
      <c r="N145">
        <f>IF(Table1[[#This Row],[Akhir]]&lt;Table1[[#This Row],[Awal]],(Table1[[#This Row],[Akhir]]+1)-Table1[[#This Row],[Awal]],Table1[[#This Row],[Akhir]]-Table1[[#This Row],[Awal]])*24</f>
        <v>12</v>
      </c>
      <c r="O145" t="str">
        <f>IF(Table1[[#This Row],[Duration Real]]&gt;=6,"Major",
IF(Table1[[#This Row],[Duration Real]]&gt;=2,"Medium","Minor"))</f>
        <v>Major</v>
      </c>
    </row>
    <row r="146" spans="1:15" x14ac:dyDescent="0.35">
      <c r="A146" s="2">
        <v>46147</v>
      </c>
      <c r="B146" t="s">
        <v>94</v>
      </c>
      <c r="C146" t="s">
        <v>101</v>
      </c>
      <c r="D146" t="s">
        <v>102</v>
      </c>
      <c r="E146" t="s">
        <v>34</v>
      </c>
      <c r="F146" s="3">
        <v>0.75</v>
      </c>
      <c r="G146" s="4">
        <v>0.25</v>
      </c>
      <c r="H146" s="5" t="s">
        <v>19</v>
      </c>
      <c r="I146" t="s">
        <v>20</v>
      </c>
      <c r="J146" t="s">
        <v>24</v>
      </c>
      <c r="K146" t="s">
        <v>22</v>
      </c>
      <c r="L146" t="s">
        <v>23</v>
      </c>
      <c r="M146" t="s">
        <v>24</v>
      </c>
      <c r="N146">
        <f>IF(Table1[[#This Row],[Akhir]]&lt;Table1[[#This Row],[Awal]],(Table1[[#This Row],[Akhir]]+1)-Table1[[#This Row],[Awal]],Table1[[#This Row],[Akhir]]-Table1[[#This Row],[Awal]])*24</f>
        <v>12</v>
      </c>
      <c r="O146" t="str">
        <f>IF(Table1[[#This Row],[Duration Real]]&gt;=6,"Major",
IF(Table1[[#This Row],[Duration Real]]&gt;=2,"Medium","Minor"))</f>
        <v>Major</v>
      </c>
    </row>
    <row r="147" spans="1:15" x14ac:dyDescent="0.35">
      <c r="A147" s="2">
        <v>46148</v>
      </c>
      <c r="B147" t="s">
        <v>15</v>
      </c>
      <c r="C147" t="s">
        <v>16</v>
      </c>
      <c r="D147" t="s">
        <v>260</v>
      </c>
      <c r="E147" t="s">
        <v>261</v>
      </c>
      <c r="F147" s="3">
        <v>0.38124999999999998</v>
      </c>
      <c r="G147" s="4">
        <v>0.47499999999999998</v>
      </c>
      <c r="H147" s="5" t="s">
        <v>19</v>
      </c>
      <c r="I147" t="s">
        <v>26</v>
      </c>
      <c r="J147" t="s">
        <v>24</v>
      </c>
      <c r="K147" t="s">
        <v>22</v>
      </c>
      <c r="L147" t="s">
        <v>143</v>
      </c>
      <c r="M147" t="s">
        <v>24</v>
      </c>
      <c r="N147">
        <f>IF(Table1[[#This Row],[Akhir]]&lt;Table1[[#This Row],[Awal]],(Table1[[#This Row],[Akhir]]+1)-Table1[[#This Row],[Awal]],Table1[[#This Row],[Akhir]]-Table1[[#This Row],[Awal]])*24</f>
        <v>2.25</v>
      </c>
      <c r="O147" t="str">
        <f>IF(Table1[[#This Row],[Duration Real]]&gt;=6,"Major",
IF(Table1[[#This Row],[Duration Real]]&gt;=2,"Medium","Minor"))</f>
        <v>Medium</v>
      </c>
    </row>
    <row r="148" spans="1:15" x14ac:dyDescent="0.35">
      <c r="A148" s="2">
        <v>46148</v>
      </c>
      <c r="B148" t="s">
        <v>15</v>
      </c>
      <c r="C148" t="s">
        <v>16</v>
      </c>
      <c r="D148" t="s">
        <v>262</v>
      </c>
      <c r="E148" t="s">
        <v>263</v>
      </c>
      <c r="F148" s="3">
        <v>0.70347222222222228</v>
      </c>
      <c r="G148" s="4">
        <v>0.75</v>
      </c>
      <c r="H148" s="5" t="s">
        <v>19</v>
      </c>
      <c r="I148" t="s">
        <v>26</v>
      </c>
      <c r="J148" t="s">
        <v>24</v>
      </c>
      <c r="K148" t="s">
        <v>22</v>
      </c>
      <c r="L148" t="s">
        <v>43</v>
      </c>
      <c r="M148" t="s">
        <v>24</v>
      </c>
      <c r="N148">
        <f>IF(Table1[[#This Row],[Akhir]]&lt;Table1[[#This Row],[Awal]],(Table1[[#This Row],[Akhir]]+1)-Table1[[#This Row],[Awal]],Table1[[#This Row],[Akhir]]-Table1[[#This Row],[Awal]])*24</f>
        <v>1.1166666666666654</v>
      </c>
      <c r="O148" t="str">
        <f>IF(Table1[[#This Row],[Duration Real]]&gt;=6,"Major",
IF(Table1[[#This Row],[Duration Real]]&gt;=2,"Medium","Minor"))</f>
        <v>Minor</v>
      </c>
    </row>
    <row r="149" spans="1:15" x14ac:dyDescent="0.35">
      <c r="A149" s="2">
        <v>46148</v>
      </c>
      <c r="B149" t="s">
        <v>15</v>
      </c>
      <c r="C149" t="s">
        <v>16</v>
      </c>
      <c r="D149" t="s">
        <v>262</v>
      </c>
      <c r="E149" t="s">
        <v>219</v>
      </c>
      <c r="F149" s="3">
        <v>0.75</v>
      </c>
      <c r="G149" s="4">
        <v>0.95347222222222228</v>
      </c>
      <c r="H149" s="5" t="s">
        <v>19</v>
      </c>
      <c r="I149" t="s">
        <v>20</v>
      </c>
      <c r="J149" t="s">
        <v>24</v>
      </c>
      <c r="K149" t="s">
        <v>22</v>
      </c>
      <c r="L149" t="s">
        <v>43</v>
      </c>
      <c r="M149" t="s">
        <v>24</v>
      </c>
      <c r="N149">
        <f>IF(Table1[[#This Row],[Akhir]]&lt;Table1[[#This Row],[Awal]],(Table1[[#This Row],[Akhir]]+1)-Table1[[#This Row],[Awal]],Table1[[#This Row],[Akhir]]-Table1[[#This Row],[Awal]])*24</f>
        <v>4.8833333333333346</v>
      </c>
      <c r="O149" t="str">
        <f>IF(Table1[[#This Row],[Duration Real]]&gt;=6,"Major",
IF(Table1[[#This Row],[Duration Real]]&gt;=2,"Medium","Minor"))</f>
        <v>Medium</v>
      </c>
    </row>
    <row r="150" spans="1:15" x14ac:dyDescent="0.35">
      <c r="A150" s="2">
        <v>46148</v>
      </c>
      <c r="B150" t="s">
        <v>15</v>
      </c>
      <c r="C150" t="s">
        <v>32</v>
      </c>
      <c r="D150" t="s">
        <v>264</v>
      </c>
      <c r="E150" t="s">
        <v>265</v>
      </c>
      <c r="F150" s="3">
        <v>0.75</v>
      </c>
      <c r="G150" s="4">
        <v>0.97222222222222221</v>
      </c>
      <c r="H150" s="5" t="s">
        <v>19</v>
      </c>
      <c r="I150" t="s">
        <v>20</v>
      </c>
      <c r="J150" t="s">
        <v>24</v>
      </c>
      <c r="K150" t="s">
        <v>22</v>
      </c>
      <c r="L150" t="s">
        <v>266</v>
      </c>
      <c r="M150" t="s">
        <v>24</v>
      </c>
      <c r="N150">
        <f>IF(Table1[[#This Row],[Akhir]]&lt;Table1[[#This Row],[Awal]],(Table1[[#This Row],[Akhir]]+1)-Table1[[#This Row],[Awal]],Table1[[#This Row],[Akhir]]-Table1[[#This Row],[Awal]])*24</f>
        <v>5.333333333333333</v>
      </c>
      <c r="O150" t="str">
        <f>IF(Table1[[#This Row],[Duration Real]]&gt;=6,"Major",
IF(Table1[[#This Row],[Duration Real]]&gt;=2,"Medium","Minor"))</f>
        <v>Medium</v>
      </c>
    </row>
    <row r="151" spans="1:15" x14ac:dyDescent="0.35">
      <c r="A151" s="2">
        <v>46148</v>
      </c>
      <c r="B151" t="s">
        <v>15</v>
      </c>
      <c r="C151" t="s">
        <v>32</v>
      </c>
      <c r="D151" t="s">
        <v>267</v>
      </c>
      <c r="E151" t="s">
        <v>268</v>
      </c>
      <c r="F151" s="3">
        <v>0.6381944444444444</v>
      </c>
      <c r="G151" s="4">
        <v>0.65486111111111112</v>
      </c>
      <c r="H151" s="5" t="s">
        <v>19</v>
      </c>
      <c r="I151" t="s">
        <v>26</v>
      </c>
      <c r="J151" t="s">
        <v>24</v>
      </c>
      <c r="K151" t="s">
        <v>22</v>
      </c>
      <c r="L151" t="s">
        <v>43</v>
      </c>
      <c r="M151" t="s">
        <v>24</v>
      </c>
      <c r="N151">
        <f>IF(Table1[[#This Row],[Akhir]]&lt;Table1[[#This Row],[Awal]],(Table1[[#This Row],[Akhir]]+1)-Table1[[#This Row],[Awal]],Table1[[#This Row],[Akhir]]-Table1[[#This Row],[Awal]])*24</f>
        <v>0.40000000000000124</v>
      </c>
      <c r="O151" t="str">
        <f>IF(Table1[[#This Row],[Duration Real]]&gt;=6,"Major",
IF(Table1[[#This Row],[Duration Real]]&gt;=2,"Medium","Minor"))</f>
        <v>Minor</v>
      </c>
    </row>
    <row r="152" spans="1:15" x14ac:dyDescent="0.35">
      <c r="A152" s="2">
        <v>46148</v>
      </c>
      <c r="B152" t="s">
        <v>15</v>
      </c>
      <c r="C152" t="s">
        <v>36</v>
      </c>
      <c r="D152" t="s">
        <v>139</v>
      </c>
      <c r="E152" t="s">
        <v>120</v>
      </c>
      <c r="F152" s="3">
        <v>0.18055555555555555</v>
      </c>
      <c r="G152" s="4">
        <v>0.25</v>
      </c>
      <c r="H152" s="5" t="s">
        <v>19</v>
      </c>
      <c r="I152" t="s">
        <v>20</v>
      </c>
      <c r="J152" t="s">
        <v>24</v>
      </c>
      <c r="K152" t="s">
        <v>22</v>
      </c>
      <c r="L152" t="s">
        <v>73</v>
      </c>
      <c r="M152" t="s">
        <v>24</v>
      </c>
      <c r="N152">
        <f>IF(Table1[[#This Row],[Akhir]]&lt;Table1[[#This Row],[Awal]],(Table1[[#This Row],[Akhir]]+1)-Table1[[#This Row],[Awal]],Table1[[#This Row],[Akhir]]-Table1[[#This Row],[Awal]])*24</f>
        <v>1.6666666666666667</v>
      </c>
      <c r="O152" t="str">
        <f>IF(Table1[[#This Row],[Duration Real]]&gt;=6,"Major",
IF(Table1[[#This Row],[Duration Real]]&gt;=2,"Medium","Minor"))</f>
        <v>Minor</v>
      </c>
    </row>
    <row r="153" spans="1:15" x14ac:dyDescent="0.35">
      <c r="A153" s="2">
        <v>46148</v>
      </c>
      <c r="B153" t="s">
        <v>15</v>
      </c>
      <c r="C153" t="s">
        <v>36</v>
      </c>
      <c r="D153" t="s">
        <v>37</v>
      </c>
      <c r="E153" t="s">
        <v>269</v>
      </c>
      <c r="F153" s="3">
        <v>0.10347222222222222</v>
      </c>
      <c r="G153" s="4">
        <v>0.1125</v>
      </c>
      <c r="H153" s="5" t="s">
        <v>19</v>
      </c>
      <c r="I153" t="s">
        <v>20</v>
      </c>
      <c r="J153" t="s">
        <v>270</v>
      </c>
      <c r="K153" t="s">
        <v>22</v>
      </c>
      <c r="L153" t="s">
        <v>73</v>
      </c>
      <c r="M153" t="s">
        <v>24</v>
      </c>
      <c r="N153">
        <f>IF(Table1[[#This Row],[Akhir]]&lt;Table1[[#This Row],[Awal]],(Table1[[#This Row],[Akhir]]+1)-Table1[[#This Row],[Awal]],Table1[[#This Row],[Akhir]]-Table1[[#This Row],[Awal]])*24</f>
        <v>0.2166666666666669</v>
      </c>
      <c r="O153" t="str">
        <f>IF(Table1[[#This Row],[Duration Real]]&gt;=6,"Major",
IF(Table1[[#This Row],[Duration Real]]&gt;=2,"Medium","Minor"))</f>
        <v>Minor</v>
      </c>
    </row>
    <row r="154" spans="1:15" x14ac:dyDescent="0.35">
      <c r="A154" s="2">
        <v>46148</v>
      </c>
      <c r="B154" t="s">
        <v>15</v>
      </c>
      <c r="C154" t="s">
        <v>36</v>
      </c>
      <c r="D154" t="s">
        <v>271</v>
      </c>
      <c r="E154" t="s">
        <v>272</v>
      </c>
      <c r="F154" s="3">
        <v>0.25</v>
      </c>
      <c r="G154" s="4">
        <v>0.3659722222222222</v>
      </c>
      <c r="H154" s="5" t="s">
        <v>19</v>
      </c>
      <c r="I154" t="s">
        <v>26</v>
      </c>
      <c r="J154" t="s">
        <v>273</v>
      </c>
      <c r="K154" t="s">
        <v>46</v>
      </c>
      <c r="L154" t="s">
        <v>67</v>
      </c>
      <c r="M154" t="s">
        <v>24</v>
      </c>
      <c r="N154">
        <f>IF(Table1[[#This Row],[Akhir]]&lt;Table1[[#This Row],[Awal]],(Table1[[#This Row],[Akhir]]+1)-Table1[[#This Row],[Awal]],Table1[[#This Row],[Akhir]]-Table1[[#This Row],[Awal]])*24</f>
        <v>2.7833333333333328</v>
      </c>
      <c r="O154" t="str">
        <f>IF(Table1[[#This Row],[Duration Real]]&gt;=6,"Major",
IF(Table1[[#This Row],[Duration Real]]&gt;=2,"Medium","Minor"))</f>
        <v>Medium</v>
      </c>
    </row>
    <row r="155" spans="1:15" x14ac:dyDescent="0.35">
      <c r="A155" s="2">
        <v>46148</v>
      </c>
      <c r="B155" t="s">
        <v>15</v>
      </c>
      <c r="C155" t="s">
        <v>36</v>
      </c>
      <c r="D155" t="s">
        <v>228</v>
      </c>
      <c r="E155" t="s">
        <v>274</v>
      </c>
      <c r="F155" s="3">
        <v>0.71597222222222223</v>
      </c>
      <c r="G155" s="4">
        <v>0.75</v>
      </c>
      <c r="H155" s="5" t="s">
        <v>19</v>
      </c>
      <c r="I155" t="s">
        <v>26</v>
      </c>
      <c r="J155" t="s">
        <v>24</v>
      </c>
      <c r="K155" t="s">
        <v>22</v>
      </c>
      <c r="L155" t="s">
        <v>275</v>
      </c>
      <c r="M155" t="s">
        <v>24</v>
      </c>
      <c r="N155">
        <f>IF(Table1[[#This Row],[Akhir]]&lt;Table1[[#This Row],[Awal]],(Table1[[#This Row],[Akhir]]+1)-Table1[[#This Row],[Awal]],Table1[[#This Row],[Akhir]]-Table1[[#This Row],[Awal]])*24</f>
        <v>0.81666666666666643</v>
      </c>
      <c r="O155" t="str">
        <f>IF(Table1[[#This Row],[Duration Real]]&gt;=6,"Major",
IF(Table1[[#This Row],[Duration Real]]&gt;=2,"Medium","Minor"))</f>
        <v>Minor</v>
      </c>
    </row>
    <row r="156" spans="1:15" x14ac:dyDescent="0.35">
      <c r="A156" s="2">
        <v>46148</v>
      </c>
      <c r="B156" t="s">
        <v>15</v>
      </c>
      <c r="C156" t="s">
        <v>36</v>
      </c>
      <c r="D156" t="s">
        <v>276</v>
      </c>
      <c r="E156" t="s">
        <v>277</v>
      </c>
      <c r="F156" s="3">
        <v>0.75</v>
      </c>
      <c r="G156" s="4">
        <v>0.86805555555555558</v>
      </c>
      <c r="H156" s="5" t="s">
        <v>19</v>
      </c>
      <c r="I156" t="s">
        <v>20</v>
      </c>
      <c r="J156" t="s">
        <v>24</v>
      </c>
      <c r="K156" t="s">
        <v>22</v>
      </c>
      <c r="L156" t="s">
        <v>275</v>
      </c>
      <c r="M156" t="s">
        <v>24</v>
      </c>
      <c r="N156">
        <f>IF(Table1[[#This Row],[Akhir]]&lt;Table1[[#This Row],[Awal]],(Table1[[#This Row],[Akhir]]+1)-Table1[[#This Row],[Awal]],Table1[[#This Row],[Akhir]]-Table1[[#This Row],[Awal]])*24</f>
        <v>2.8333333333333339</v>
      </c>
      <c r="O156" t="str">
        <f>IF(Table1[[#This Row],[Duration Real]]&gt;=6,"Major",
IF(Table1[[#This Row],[Duration Real]]&gt;=2,"Medium","Minor"))</f>
        <v>Medium</v>
      </c>
    </row>
    <row r="157" spans="1:15" x14ac:dyDescent="0.35">
      <c r="A157" s="2">
        <v>46148</v>
      </c>
      <c r="B157" t="s">
        <v>15</v>
      </c>
      <c r="C157" t="s">
        <v>41</v>
      </c>
      <c r="D157" t="s">
        <v>42</v>
      </c>
      <c r="E157" t="s">
        <v>34</v>
      </c>
      <c r="F157" s="3">
        <v>0.25</v>
      </c>
      <c r="G157" s="4">
        <v>0.75</v>
      </c>
      <c r="H157" s="5" t="s">
        <v>19</v>
      </c>
      <c r="I157" t="s">
        <v>26</v>
      </c>
      <c r="J157" t="s">
        <v>24</v>
      </c>
      <c r="K157" t="s">
        <v>39</v>
      </c>
      <c r="L157" t="s">
        <v>43</v>
      </c>
      <c r="M157" t="s">
        <v>24</v>
      </c>
      <c r="N157">
        <f>IF(Table1[[#This Row],[Akhir]]&lt;Table1[[#This Row],[Awal]],(Table1[[#This Row],[Akhir]]+1)-Table1[[#This Row],[Awal]],Table1[[#This Row],[Akhir]]-Table1[[#This Row],[Awal]])*24</f>
        <v>12</v>
      </c>
      <c r="O157" t="str">
        <f>IF(Table1[[#This Row],[Duration Real]]&gt;=6,"Major",
IF(Table1[[#This Row],[Duration Real]]&gt;=2,"Medium","Minor"))</f>
        <v>Major</v>
      </c>
    </row>
    <row r="158" spans="1:15" x14ac:dyDescent="0.35">
      <c r="A158" s="2">
        <v>46148</v>
      </c>
      <c r="B158" t="s">
        <v>15</v>
      </c>
      <c r="C158" t="s">
        <v>41</v>
      </c>
      <c r="D158" t="s">
        <v>42</v>
      </c>
      <c r="E158" t="s">
        <v>34</v>
      </c>
      <c r="F158" s="3">
        <v>0.75</v>
      </c>
      <c r="G158" s="4">
        <v>0.25</v>
      </c>
      <c r="H158" s="5" t="s">
        <v>19</v>
      </c>
      <c r="I158" t="s">
        <v>20</v>
      </c>
      <c r="J158" t="s">
        <v>24</v>
      </c>
      <c r="K158" t="s">
        <v>39</v>
      </c>
      <c r="L158" t="s">
        <v>43</v>
      </c>
      <c r="M158" t="s">
        <v>24</v>
      </c>
      <c r="N158">
        <f>IF(Table1[[#This Row],[Akhir]]&lt;Table1[[#This Row],[Awal]],(Table1[[#This Row],[Akhir]]+1)-Table1[[#This Row],[Awal]],Table1[[#This Row],[Akhir]]-Table1[[#This Row],[Awal]])*24</f>
        <v>12</v>
      </c>
      <c r="O158" t="str">
        <f>IF(Table1[[#This Row],[Duration Real]]&gt;=6,"Major",
IF(Table1[[#This Row],[Duration Real]]&gt;=2,"Medium","Minor"))</f>
        <v>Major</v>
      </c>
    </row>
    <row r="159" spans="1:15" x14ac:dyDescent="0.35">
      <c r="A159" s="2">
        <v>46148</v>
      </c>
      <c r="B159" t="s">
        <v>15</v>
      </c>
      <c r="C159" t="s">
        <v>131</v>
      </c>
      <c r="D159" t="s">
        <v>278</v>
      </c>
      <c r="E159" t="s">
        <v>279</v>
      </c>
      <c r="F159" s="3">
        <v>0.25</v>
      </c>
      <c r="G159" s="4">
        <v>0.49583333333333335</v>
      </c>
      <c r="H159" s="5" t="s">
        <v>19</v>
      </c>
      <c r="I159" t="s">
        <v>26</v>
      </c>
      <c r="J159" t="s">
        <v>280</v>
      </c>
      <c r="K159" t="s">
        <v>83</v>
      </c>
      <c r="L159" t="s">
        <v>84</v>
      </c>
      <c r="M159" t="s">
        <v>24</v>
      </c>
      <c r="N159">
        <f>IF(Table1[[#This Row],[Akhir]]&lt;Table1[[#This Row],[Awal]],(Table1[[#This Row],[Akhir]]+1)-Table1[[#This Row],[Awal]],Table1[[#This Row],[Akhir]]-Table1[[#This Row],[Awal]])*24</f>
        <v>5.9</v>
      </c>
      <c r="O159" t="str">
        <f>IF(Table1[[#This Row],[Duration Real]]&gt;=6,"Major",
IF(Table1[[#This Row],[Duration Real]]&gt;=2,"Medium","Minor"))</f>
        <v>Medium</v>
      </c>
    </row>
    <row r="160" spans="1:15" x14ac:dyDescent="0.35">
      <c r="A160" s="2">
        <v>46148</v>
      </c>
      <c r="B160" t="s">
        <v>15</v>
      </c>
      <c r="C160" t="s">
        <v>44</v>
      </c>
      <c r="D160" t="s">
        <v>45</v>
      </c>
      <c r="E160" t="s">
        <v>34</v>
      </c>
      <c r="F160" s="3">
        <v>0.25</v>
      </c>
      <c r="G160" s="4">
        <v>0.75</v>
      </c>
      <c r="H160" s="5" t="s">
        <v>19</v>
      </c>
      <c r="I160" t="s">
        <v>26</v>
      </c>
      <c r="J160" t="s">
        <v>24</v>
      </c>
      <c r="K160" t="s">
        <v>46</v>
      </c>
      <c r="L160" t="s">
        <v>47</v>
      </c>
      <c r="M160" t="s">
        <v>24</v>
      </c>
      <c r="N160">
        <f>IF(Table1[[#This Row],[Akhir]]&lt;Table1[[#This Row],[Awal]],(Table1[[#This Row],[Akhir]]+1)-Table1[[#This Row],[Awal]],Table1[[#This Row],[Akhir]]-Table1[[#This Row],[Awal]])*24</f>
        <v>12</v>
      </c>
      <c r="O160" t="str">
        <f>IF(Table1[[#This Row],[Duration Real]]&gt;=6,"Major",
IF(Table1[[#This Row],[Duration Real]]&gt;=2,"Medium","Minor"))</f>
        <v>Major</v>
      </c>
    </row>
    <row r="161" spans="1:15" x14ac:dyDescent="0.35">
      <c r="A161" s="2">
        <v>46148</v>
      </c>
      <c r="B161" t="s">
        <v>15</v>
      </c>
      <c r="C161" t="s">
        <v>44</v>
      </c>
      <c r="D161" t="s">
        <v>45</v>
      </c>
      <c r="E161" t="s">
        <v>34</v>
      </c>
      <c r="F161" s="3">
        <v>0.75</v>
      </c>
      <c r="G161" s="4">
        <v>0.25</v>
      </c>
      <c r="H161" s="5" t="s">
        <v>19</v>
      </c>
      <c r="I161" t="s">
        <v>20</v>
      </c>
      <c r="J161" t="s">
        <v>24</v>
      </c>
      <c r="K161" t="s">
        <v>46</v>
      </c>
      <c r="L161" t="s">
        <v>47</v>
      </c>
      <c r="M161" t="s">
        <v>24</v>
      </c>
      <c r="N161">
        <f>IF(Table1[[#This Row],[Akhir]]&lt;Table1[[#This Row],[Awal]],(Table1[[#This Row],[Akhir]]+1)-Table1[[#This Row],[Awal]],Table1[[#This Row],[Akhir]]-Table1[[#This Row],[Awal]])*24</f>
        <v>12</v>
      </c>
      <c r="O161" t="str">
        <f>IF(Table1[[#This Row],[Duration Real]]&gt;=6,"Major",
IF(Table1[[#This Row],[Duration Real]]&gt;=2,"Medium","Minor"))</f>
        <v>Major</v>
      </c>
    </row>
    <row r="162" spans="1:15" x14ac:dyDescent="0.35">
      <c r="A162" s="2">
        <v>46148</v>
      </c>
      <c r="B162" t="s">
        <v>15</v>
      </c>
      <c r="C162" t="s">
        <v>52</v>
      </c>
      <c r="D162" t="s">
        <v>139</v>
      </c>
      <c r="E162" t="s">
        <v>281</v>
      </c>
      <c r="F162" s="3">
        <v>0.75</v>
      </c>
      <c r="G162" s="4">
        <v>0.81319444444444444</v>
      </c>
      <c r="H162" s="5" t="s">
        <v>19</v>
      </c>
      <c r="I162" t="s">
        <v>20</v>
      </c>
      <c r="J162" t="s">
        <v>24</v>
      </c>
      <c r="K162" t="s">
        <v>22</v>
      </c>
      <c r="L162" t="s">
        <v>266</v>
      </c>
      <c r="M162" t="s">
        <v>24</v>
      </c>
      <c r="N162">
        <f>IF(Table1[[#This Row],[Akhir]]&lt;Table1[[#This Row],[Awal]],(Table1[[#This Row],[Akhir]]+1)-Table1[[#This Row],[Awal]],Table1[[#This Row],[Akhir]]-Table1[[#This Row],[Awal]])*24</f>
        <v>1.5166666666666666</v>
      </c>
      <c r="O162" t="str">
        <f>IF(Table1[[#This Row],[Duration Real]]&gt;=6,"Major",
IF(Table1[[#This Row],[Duration Real]]&gt;=2,"Medium","Minor"))</f>
        <v>Minor</v>
      </c>
    </row>
    <row r="163" spans="1:15" x14ac:dyDescent="0.35">
      <c r="A163" s="2">
        <v>46148</v>
      </c>
      <c r="B163" t="s">
        <v>15</v>
      </c>
      <c r="C163" t="s">
        <v>52</v>
      </c>
      <c r="D163" t="s">
        <v>228</v>
      </c>
      <c r="E163" t="s">
        <v>282</v>
      </c>
      <c r="F163" s="3">
        <v>0.61250000000000004</v>
      </c>
      <c r="G163" s="4">
        <v>0.65486111111111112</v>
      </c>
      <c r="H163" s="5" t="s">
        <v>19</v>
      </c>
      <c r="I163" t="s">
        <v>26</v>
      </c>
      <c r="J163" t="s">
        <v>24</v>
      </c>
      <c r="K163" t="s">
        <v>22</v>
      </c>
      <c r="L163" t="s">
        <v>43</v>
      </c>
      <c r="M163" t="s">
        <v>24</v>
      </c>
      <c r="N163">
        <f>IF(Table1[[#This Row],[Akhir]]&lt;Table1[[#This Row],[Awal]],(Table1[[#This Row],[Akhir]]+1)-Table1[[#This Row],[Awal]],Table1[[#This Row],[Akhir]]-Table1[[#This Row],[Awal]])*24</f>
        <v>1.0166666666666657</v>
      </c>
      <c r="O163" t="str">
        <f>IF(Table1[[#This Row],[Duration Real]]&gt;=6,"Major",
IF(Table1[[#This Row],[Duration Real]]&gt;=2,"Medium","Minor"))</f>
        <v>Minor</v>
      </c>
    </row>
    <row r="164" spans="1:15" x14ac:dyDescent="0.35">
      <c r="A164" s="2">
        <v>46148</v>
      </c>
      <c r="B164" t="s">
        <v>15</v>
      </c>
      <c r="C164" t="s">
        <v>57</v>
      </c>
      <c r="D164" t="s">
        <v>283</v>
      </c>
      <c r="E164" t="s">
        <v>284</v>
      </c>
      <c r="F164" s="3">
        <v>0.22152777777777777</v>
      </c>
      <c r="G164" s="4">
        <v>0.25</v>
      </c>
      <c r="H164" s="5" t="s">
        <v>19</v>
      </c>
      <c r="I164" t="s">
        <v>20</v>
      </c>
      <c r="J164" t="s">
        <v>285</v>
      </c>
      <c r="K164" t="s">
        <v>22</v>
      </c>
      <c r="L164" t="s">
        <v>286</v>
      </c>
      <c r="M164" t="s">
        <v>24</v>
      </c>
      <c r="N164">
        <f>IF(Table1[[#This Row],[Akhir]]&lt;Table1[[#This Row],[Awal]],(Table1[[#This Row],[Akhir]]+1)-Table1[[#This Row],[Awal]],Table1[[#This Row],[Akhir]]-Table1[[#This Row],[Awal]])*24</f>
        <v>0.68333333333333357</v>
      </c>
      <c r="O164" t="str">
        <f>IF(Table1[[#This Row],[Duration Real]]&gt;=6,"Major",
IF(Table1[[#This Row],[Duration Real]]&gt;=2,"Medium","Minor"))</f>
        <v>Minor</v>
      </c>
    </row>
    <row r="165" spans="1:15" x14ac:dyDescent="0.35">
      <c r="A165" s="2">
        <v>46148</v>
      </c>
      <c r="B165" t="s">
        <v>15</v>
      </c>
      <c r="C165" t="s">
        <v>57</v>
      </c>
      <c r="D165" t="s">
        <v>287</v>
      </c>
      <c r="E165" t="s">
        <v>288</v>
      </c>
      <c r="F165" s="3">
        <v>0.54166666666666663</v>
      </c>
      <c r="G165" s="4">
        <v>0.56874999999999998</v>
      </c>
      <c r="H165" s="5" t="s">
        <v>19</v>
      </c>
      <c r="I165" t="s">
        <v>26</v>
      </c>
      <c r="J165" t="s">
        <v>24</v>
      </c>
      <c r="K165" t="s">
        <v>22</v>
      </c>
      <c r="L165" t="s">
        <v>289</v>
      </c>
      <c r="M165" t="s">
        <v>24</v>
      </c>
      <c r="N165">
        <f>IF(Table1[[#This Row],[Akhir]]&lt;Table1[[#This Row],[Awal]],(Table1[[#This Row],[Akhir]]+1)-Table1[[#This Row],[Awal]],Table1[[#This Row],[Akhir]]-Table1[[#This Row],[Awal]])*24</f>
        <v>0.65000000000000036</v>
      </c>
      <c r="O165" t="str">
        <f>IF(Table1[[#This Row],[Duration Real]]&gt;=6,"Major",
IF(Table1[[#This Row],[Duration Real]]&gt;=2,"Medium","Minor"))</f>
        <v>Minor</v>
      </c>
    </row>
    <row r="166" spans="1:15" x14ac:dyDescent="0.35">
      <c r="A166" s="2">
        <v>46148</v>
      </c>
      <c r="B166" t="s">
        <v>15</v>
      </c>
      <c r="C166" t="s">
        <v>57</v>
      </c>
      <c r="D166" t="s">
        <v>155</v>
      </c>
      <c r="E166" t="s">
        <v>169</v>
      </c>
      <c r="F166" s="3">
        <v>0.27847222222222223</v>
      </c>
      <c r="G166" s="4">
        <v>0.31527777777777777</v>
      </c>
      <c r="H166" s="5" t="s">
        <v>19</v>
      </c>
      <c r="I166" t="s">
        <v>26</v>
      </c>
      <c r="J166" t="s">
        <v>24</v>
      </c>
      <c r="K166" t="s">
        <v>22</v>
      </c>
      <c r="L166" t="s">
        <v>290</v>
      </c>
      <c r="M166" t="s">
        <v>24</v>
      </c>
      <c r="N166">
        <f>IF(Table1[[#This Row],[Akhir]]&lt;Table1[[#This Row],[Awal]],(Table1[[#This Row],[Akhir]]+1)-Table1[[#This Row],[Awal]],Table1[[#This Row],[Akhir]]-Table1[[#This Row],[Awal]])*24</f>
        <v>0.88333333333333286</v>
      </c>
      <c r="O166" t="str">
        <f>IF(Table1[[#This Row],[Duration Real]]&gt;=6,"Major",
IF(Table1[[#This Row],[Duration Real]]&gt;=2,"Medium","Minor"))</f>
        <v>Minor</v>
      </c>
    </row>
    <row r="167" spans="1:15" x14ac:dyDescent="0.35">
      <c r="A167" s="2">
        <v>46148</v>
      </c>
      <c r="B167" t="s">
        <v>15</v>
      </c>
      <c r="C167" t="s">
        <v>57</v>
      </c>
      <c r="D167" t="s">
        <v>190</v>
      </c>
      <c r="E167" t="s">
        <v>291</v>
      </c>
      <c r="F167" s="3">
        <v>0.6069444444444444</v>
      </c>
      <c r="G167" s="4">
        <v>0.6694444444444444</v>
      </c>
      <c r="H167" s="5" t="s">
        <v>19</v>
      </c>
      <c r="I167" t="s">
        <v>26</v>
      </c>
      <c r="J167" t="s">
        <v>292</v>
      </c>
      <c r="K167" t="s">
        <v>22</v>
      </c>
      <c r="L167" t="s">
        <v>293</v>
      </c>
      <c r="M167" t="s">
        <v>24</v>
      </c>
      <c r="N167">
        <f>IF(Table1[[#This Row],[Akhir]]&lt;Table1[[#This Row],[Awal]],(Table1[[#This Row],[Akhir]]+1)-Table1[[#This Row],[Awal]],Table1[[#This Row],[Akhir]]-Table1[[#This Row],[Awal]])*24</f>
        <v>1.5</v>
      </c>
      <c r="O167" t="str">
        <f>IF(Table1[[#This Row],[Duration Real]]&gt;=6,"Major",
IF(Table1[[#This Row],[Duration Real]]&gt;=2,"Medium","Minor"))</f>
        <v>Minor</v>
      </c>
    </row>
    <row r="168" spans="1:15" x14ac:dyDescent="0.35">
      <c r="A168" s="2">
        <v>46148</v>
      </c>
      <c r="B168" t="s">
        <v>15</v>
      </c>
      <c r="C168" t="s">
        <v>57</v>
      </c>
      <c r="D168" t="s">
        <v>294</v>
      </c>
      <c r="E168" t="s">
        <v>295</v>
      </c>
      <c r="F168" s="3">
        <v>0.80138888888888893</v>
      </c>
      <c r="G168" s="4">
        <v>0.92222222222222228</v>
      </c>
      <c r="H168" s="5" t="s">
        <v>19</v>
      </c>
      <c r="I168" t="s">
        <v>20</v>
      </c>
      <c r="J168" t="s">
        <v>24</v>
      </c>
      <c r="K168" t="s">
        <v>22</v>
      </c>
      <c r="L168" t="s">
        <v>40</v>
      </c>
      <c r="M168" t="s">
        <v>24</v>
      </c>
      <c r="N168">
        <f>IF(Table1[[#This Row],[Akhir]]&lt;Table1[[#This Row],[Awal]],(Table1[[#This Row],[Akhir]]+1)-Table1[[#This Row],[Awal]],Table1[[#This Row],[Akhir]]-Table1[[#This Row],[Awal]])*24</f>
        <v>2.9000000000000004</v>
      </c>
      <c r="O168" t="str">
        <f>IF(Table1[[#This Row],[Duration Real]]&gt;=6,"Major",
IF(Table1[[#This Row],[Duration Real]]&gt;=2,"Medium","Minor"))</f>
        <v>Medium</v>
      </c>
    </row>
    <row r="169" spans="1:15" x14ac:dyDescent="0.35">
      <c r="A169" s="2">
        <v>46148</v>
      </c>
      <c r="B169" t="s">
        <v>15</v>
      </c>
      <c r="C169" t="s">
        <v>230</v>
      </c>
      <c r="D169" t="s">
        <v>163</v>
      </c>
      <c r="E169" t="s">
        <v>288</v>
      </c>
      <c r="F169" s="3">
        <v>0.88611111111111107</v>
      </c>
      <c r="G169" s="4">
        <v>0.91319444444444442</v>
      </c>
      <c r="H169" s="5" t="s">
        <v>19</v>
      </c>
      <c r="I169" t="s">
        <v>20</v>
      </c>
      <c r="J169" t="s">
        <v>24</v>
      </c>
      <c r="K169" t="s">
        <v>39</v>
      </c>
      <c r="L169" t="s">
        <v>43</v>
      </c>
      <c r="M169" t="s">
        <v>24</v>
      </c>
      <c r="N169">
        <f>IF(Table1[[#This Row],[Akhir]]&lt;Table1[[#This Row],[Awal]],(Table1[[#This Row],[Akhir]]+1)-Table1[[#This Row],[Awal]],Table1[[#This Row],[Akhir]]-Table1[[#This Row],[Awal]])*24</f>
        <v>0.65000000000000036</v>
      </c>
      <c r="O169" t="str">
        <f>IF(Table1[[#This Row],[Duration Real]]&gt;=6,"Major",
IF(Table1[[#This Row],[Duration Real]]&gt;=2,"Medium","Minor"))</f>
        <v>Minor</v>
      </c>
    </row>
    <row r="170" spans="1:15" x14ac:dyDescent="0.35">
      <c r="A170" s="2">
        <v>46148</v>
      </c>
      <c r="B170" t="s">
        <v>15</v>
      </c>
      <c r="C170" t="s">
        <v>64</v>
      </c>
      <c r="D170" t="s">
        <v>296</v>
      </c>
      <c r="E170" t="s">
        <v>297</v>
      </c>
      <c r="F170" s="3">
        <v>0.19305555555555556</v>
      </c>
      <c r="G170" s="4">
        <v>0.25</v>
      </c>
      <c r="H170" s="5" t="s">
        <v>19</v>
      </c>
      <c r="I170" t="s">
        <v>20</v>
      </c>
      <c r="J170" t="s">
        <v>24</v>
      </c>
      <c r="K170" t="s">
        <v>22</v>
      </c>
      <c r="L170" t="s">
        <v>298</v>
      </c>
      <c r="M170" t="s">
        <v>24</v>
      </c>
      <c r="N170">
        <f>IF(Table1[[#This Row],[Akhir]]&lt;Table1[[#This Row],[Awal]],(Table1[[#This Row],[Akhir]]+1)-Table1[[#This Row],[Awal]],Table1[[#This Row],[Akhir]]-Table1[[#This Row],[Awal]])*24</f>
        <v>1.3666666666666665</v>
      </c>
      <c r="O170" t="str">
        <f>IF(Table1[[#This Row],[Duration Real]]&gt;=6,"Major",
IF(Table1[[#This Row],[Duration Real]]&gt;=2,"Medium","Minor"))</f>
        <v>Minor</v>
      </c>
    </row>
    <row r="171" spans="1:15" x14ac:dyDescent="0.35">
      <c r="A171" s="2">
        <v>46148</v>
      </c>
      <c r="B171" t="s">
        <v>15</v>
      </c>
      <c r="C171" t="s">
        <v>76</v>
      </c>
      <c r="D171" t="s">
        <v>49</v>
      </c>
      <c r="E171" t="s">
        <v>299</v>
      </c>
      <c r="F171" s="3">
        <v>0.75</v>
      </c>
      <c r="G171" s="4">
        <v>0.88541666666666663</v>
      </c>
      <c r="H171" s="5" t="s">
        <v>19</v>
      </c>
      <c r="I171" t="s">
        <v>20</v>
      </c>
      <c r="J171" t="s">
        <v>300</v>
      </c>
      <c r="K171" t="s">
        <v>83</v>
      </c>
      <c r="L171" t="s">
        <v>134</v>
      </c>
      <c r="M171" t="s">
        <v>24</v>
      </c>
      <c r="N171">
        <f>IF(Table1[[#This Row],[Akhir]]&lt;Table1[[#This Row],[Awal]],(Table1[[#This Row],[Akhir]]+1)-Table1[[#This Row],[Awal]],Table1[[#This Row],[Akhir]]-Table1[[#This Row],[Awal]])*24</f>
        <v>3.2499999999999991</v>
      </c>
      <c r="O171" t="str">
        <f>IF(Table1[[#This Row],[Duration Real]]&gt;=6,"Major",
IF(Table1[[#This Row],[Duration Real]]&gt;=2,"Medium","Minor"))</f>
        <v>Medium</v>
      </c>
    </row>
    <row r="172" spans="1:15" x14ac:dyDescent="0.35">
      <c r="A172" s="2">
        <v>46148</v>
      </c>
      <c r="B172" t="s">
        <v>15</v>
      </c>
      <c r="C172" t="s">
        <v>76</v>
      </c>
      <c r="D172" t="s">
        <v>301</v>
      </c>
      <c r="E172" t="s">
        <v>302</v>
      </c>
      <c r="F172" s="3">
        <v>0.25</v>
      </c>
      <c r="G172" s="4">
        <v>0.30833333333333335</v>
      </c>
      <c r="H172" s="5" t="s">
        <v>19</v>
      </c>
      <c r="I172" t="s">
        <v>26</v>
      </c>
      <c r="J172" t="s">
        <v>303</v>
      </c>
      <c r="K172" t="s">
        <v>83</v>
      </c>
      <c r="L172" t="s">
        <v>84</v>
      </c>
      <c r="M172" t="s">
        <v>24</v>
      </c>
      <c r="N172">
        <f>IF(Table1[[#This Row],[Akhir]]&lt;Table1[[#This Row],[Awal]],(Table1[[#This Row],[Akhir]]+1)-Table1[[#This Row],[Awal]],Table1[[#This Row],[Akhir]]-Table1[[#This Row],[Awal]])*24</f>
        <v>1.4000000000000004</v>
      </c>
      <c r="O172" t="str">
        <f>IF(Table1[[#This Row],[Duration Real]]&gt;=6,"Major",
IF(Table1[[#This Row],[Duration Real]]&gt;=2,"Medium","Minor"))</f>
        <v>Minor</v>
      </c>
    </row>
    <row r="173" spans="1:15" x14ac:dyDescent="0.35">
      <c r="A173" s="2">
        <v>46148</v>
      </c>
      <c r="B173" t="s">
        <v>15</v>
      </c>
      <c r="C173" t="s">
        <v>85</v>
      </c>
      <c r="D173" t="s">
        <v>86</v>
      </c>
      <c r="E173" t="s">
        <v>34</v>
      </c>
      <c r="F173" s="3">
        <v>0.25</v>
      </c>
      <c r="G173" s="4">
        <v>0.75</v>
      </c>
      <c r="H173" s="5" t="s">
        <v>19</v>
      </c>
      <c r="I173" t="s">
        <v>26</v>
      </c>
      <c r="J173" t="s">
        <v>24</v>
      </c>
      <c r="K173" t="s">
        <v>22</v>
      </c>
      <c r="L173" t="s">
        <v>87</v>
      </c>
      <c r="M173" t="s">
        <v>24</v>
      </c>
      <c r="N173">
        <f>IF(Table1[[#This Row],[Akhir]]&lt;Table1[[#This Row],[Awal]],(Table1[[#This Row],[Akhir]]+1)-Table1[[#This Row],[Awal]],Table1[[#This Row],[Akhir]]-Table1[[#This Row],[Awal]])*24</f>
        <v>12</v>
      </c>
      <c r="O173" t="str">
        <f>IF(Table1[[#This Row],[Duration Real]]&gt;=6,"Major",
IF(Table1[[#This Row],[Duration Real]]&gt;=2,"Medium","Minor"))</f>
        <v>Major</v>
      </c>
    </row>
    <row r="174" spans="1:15" x14ac:dyDescent="0.35">
      <c r="A174" s="2">
        <v>46148</v>
      </c>
      <c r="B174" t="s">
        <v>15</v>
      </c>
      <c r="C174" t="s">
        <v>85</v>
      </c>
      <c r="D174" t="s">
        <v>86</v>
      </c>
      <c r="E174" t="s">
        <v>34</v>
      </c>
      <c r="F174" s="3">
        <v>0.75</v>
      </c>
      <c r="G174" s="4">
        <v>0.25</v>
      </c>
      <c r="H174" s="5" t="s">
        <v>19</v>
      </c>
      <c r="I174" t="s">
        <v>20</v>
      </c>
      <c r="J174" t="s">
        <v>24</v>
      </c>
      <c r="K174" t="s">
        <v>22</v>
      </c>
      <c r="L174" t="s">
        <v>87</v>
      </c>
      <c r="M174" t="s">
        <v>24</v>
      </c>
      <c r="N174">
        <f>IF(Table1[[#This Row],[Akhir]]&lt;Table1[[#This Row],[Awal]],(Table1[[#This Row],[Akhir]]+1)-Table1[[#This Row],[Awal]],Table1[[#This Row],[Akhir]]-Table1[[#This Row],[Awal]])*24</f>
        <v>12</v>
      </c>
      <c r="O174" t="str">
        <f>IF(Table1[[#This Row],[Duration Real]]&gt;=6,"Major",
IF(Table1[[#This Row],[Duration Real]]&gt;=2,"Medium","Minor"))</f>
        <v>Major</v>
      </c>
    </row>
    <row r="175" spans="1:15" x14ac:dyDescent="0.35">
      <c r="A175" s="2">
        <v>46148</v>
      </c>
      <c r="B175" t="s">
        <v>94</v>
      </c>
      <c r="C175" t="s">
        <v>95</v>
      </c>
      <c r="D175" t="s">
        <v>301</v>
      </c>
      <c r="E175" t="s">
        <v>199</v>
      </c>
      <c r="F175" s="3">
        <v>0.38819444444444445</v>
      </c>
      <c r="G175" s="4">
        <v>0.41319444444444442</v>
      </c>
      <c r="H175" s="5" t="s">
        <v>19</v>
      </c>
      <c r="I175" t="s">
        <v>26</v>
      </c>
      <c r="J175" t="s">
        <v>304</v>
      </c>
      <c r="K175" t="s">
        <v>22</v>
      </c>
      <c r="L175" t="s">
        <v>143</v>
      </c>
      <c r="M175" t="s">
        <v>24</v>
      </c>
      <c r="N175">
        <f>IF(Table1[[#This Row],[Akhir]]&lt;Table1[[#This Row],[Awal]],(Table1[[#This Row],[Akhir]]+1)-Table1[[#This Row],[Awal]],Table1[[#This Row],[Akhir]]-Table1[[#This Row],[Awal]])*24</f>
        <v>0.5999999999999992</v>
      </c>
      <c r="O175" t="str">
        <f>IF(Table1[[#This Row],[Duration Real]]&gt;=6,"Major",
IF(Table1[[#This Row],[Duration Real]]&gt;=2,"Medium","Minor"))</f>
        <v>Minor</v>
      </c>
    </row>
    <row r="176" spans="1:15" x14ac:dyDescent="0.35">
      <c r="A176" s="2">
        <v>46148</v>
      </c>
      <c r="B176" t="s">
        <v>94</v>
      </c>
      <c r="C176" t="s">
        <v>95</v>
      </c>
      <c r="D176" t="s">
        <v>89</v>
      </c>
      <c r="E176" t="s">
        <v>305</v>
      </c>
      <c r="F176" s="3">
        <v>0.65763888888888888</v>
      </c>
      <c r="G176" s="4">
        <v>0.68333333333333335</v>
      </c>
      <c r="H176" s="5" t="s">
        <v>19</v>
      </c>
      <c r="I176" t="s">
        <v>26</v>
      </c>
      <c r="J176" t="s">
        <v>24</v>
      </c>
      <c r="K176" t="s">
        <v>22</v>
      </c>
      <c r="L176" t="s">
        <v>43</v>
      </c>
      <c r="M176" t="s">
        <v>24</v>
      </c>
      <c r="N176">
        <f>IF(Table1[[#This Row],[Akhir]]&lt;Table1[[#This Row],[Awal]],(Table1[[#This Row],[Akhir]]+1)-Table1[[#This Row],[Awal]],Table1[[#This Row],[Akhir]]-Table1[[#This Row],[Awal]])*24</f>
        <v>0.61666666666666714</v>
      </c>
      <c r="O176" t="str">
        <f>IF(Table1[[#This Row],[Duration Real]]&gt;=6,"Major",
IF(Table1[[#This Row],[Duration Real]]&gt;=2,"Medium","Minor"))</f>
        <v>Minor</v>
      </c>
    </row>
    <row r="177" spans="1:15" x14ac:dyDescent="0.35">
      <c r="A177" s="2">
        <v>46148</v>
      </c>
      <c r="B177" t="s">
        <v>94</v>
      </c>
      <c r="C177" t="s">
        <v>95</v>
      </c>
      <c r="D177" t="s">
        <v>306</v>
      </c>
      <c r="E177" t="s">
        <v>307</v>
      </c>
      <c r="F177" s="3">
        <v>0.49166666666666664</v>
      </c>
      <c r="G177" s="4">
        <v>0.57499999999999996</v>
      </c>
      <c r="H177" s="5" t="s">
        <v>19</v>
      </c>
      <c r="I177" t="s">
        <v>26</v>
      </c>
      <c r="J177" t="s">
        <v>24</v>
      </c>
      <c r="K177" t="s">
        <v>39</v>
      </c>
      <c r="L177" t="s">
        <v>143</v>
      </c>
      <c r="M177" t="s">
        <v>24</v>
      </c>
      <c r="N177">
        <f>IF(Table1[[#This Row],[Akhir]]&lt;Table1[[#This Row],[Awal]],(Table1[[#This Row],[Akhir]]+1)-Table1[[#This Row],[Awal]],Table1[[#This Row],[Akhir]]-Table1[[#This Row],[Awal]])*24</f>
        <v>1.9999999999999996</v>
      </c>
      <c r="O177" t="str">
        <f>IF(Table1[[#This Row],[Duration Real]]&gt;=6,"Major",
IF(Table1[[#This Row],[Duration Real]]&gt;=2,"Medium","Minor"))</f>
        <v>Medium</v>
      </c>
    </row>
    <row r="178" spans="1:15" x14ac:dyDescent="0.35">
      <c r="A178" s="2">
        <v>46148</v>
      </c>
      <c r="B178" t="s">
        <v>94</v>
      </c>
      <c r="C178" t="s">
        <v>95</v>
      </c>
      <c r="D178" t="s">
        <v>236</v>
      </c>
      <c r="E178" t="s">
        <v>308</v>
      </c>
      <c r="F178" s="3">
        <v>0.85277777777777775</v>
      </c>
      <c r="G178" s="4">
        <v>0.91319444444444442</v>
      </c>
      <c r="H178" s="5" t="s">
        <v>19</v>
      </c>
      <c r="I178" t="s">
        <v>20</v>
      </c>
      <c r="J178" t="s">
        <v>24</v>
      </c>
      <c r="K178" t="s">
        <v>39</v>
      </c>
      <c r="L178" t="s">
        <v>43</v>
      </c>
      <c r="M178" t="s">
        <v>24</v>
      </c>
      <c r="N178">
        <f>IF(Table1[[#This Row],[Akhir]]&lt;Table1[[#This Row],[Awal]],(Table1[[#This Row],[Akhir]]+1)-Table1[[#This Row],[Awal]],Table1[[#This Row],[Akhir]]-Table1[[#This Row],[Awal]])*24</f>
        <v>1.4500000000000002</v>
      </c>
      <c r="O178" t="str">
        <f>IF(Table1[[#This Row],[Duration Real]]&gt;=6,"Major",
IF(Table1[[#This Row],[Duration Real]]&gt;=2,"Medium","Minor"))</f>
        <v>Minor</v>
      </c>
    </row>
    <row r="179" spans="1:15" x14ac:dyDescent="0.35">
      <c r="A179" s="2">
        <v>46148</v>
      </c>
      <c r="B179" t="s">
        <v>94</v>
      </c>
      <c r="C179" t="s">
        <v>99</v>
      </c>
      <c r="D179" t="s">
        <v>309</v>
      </c>
      <c r="E179" t="s">
        <v>258</v>
      </c>
      <c r="F179" s="3">
        <v>4.1666666666666664E-2</v>
      </c>
      <c r="G179" s="4">
        <v>0.12152777777777778</v>
      </c>
      <c r="H179" s="5" t="s">
        <v>19</v>
      </c>
      <c r="I179" t="s">
        <v>20</v>
      </c>
      <c r="J179" t="s">
        <v>24</v>
      </c>
      <c r="K179" t="s">
        <v>22</v>
      </c>
      <c r="L179" t="s">
        <v>43</v>
      </c>
      <c r="M179" t="s">
        <v>24</v>
      </c>
      <c r="N179">
        <f>IF(Table1[[#This Row],[Akhir]]&lt;Table1[[#This Row],[Awal]],(Table1[[#This Row],[Akhir]]+1)-Table1[[#This Row],[Awal]],Table1[[#This Row],[Akhir]]-Table1[[#This Row],[Awal]])*24</f>
        <v>1.9166666666666665</v>
      </c>
      <c r="O179" t="str">
        <f>IF(Table1[[#This Row],[Duration Real]]&gt;=6,"Major",
IF(Table1[[#This Row],[Duration Real]]&gt;=2,"Medium","Minor"))</f>
        <v>Minor</v>
      </c>
    </row>
    <row r="180" spans="1:15" x14ac:dyDescent="0.35">
      <c r="A180" s="2">
        <v>46148</v>
      </c>
      <c r="B180" t="s">
        <v>94</v>
      </c>
      <c r="C180" t="s">
        <v>204</v>
      </c>
      <c r="D180" t="s">
        <v>205</v>
      </c>
      <c r="E180" t="s">
        <v>34</v>
      </c>
      <c r="F180" s="3">
        <v>0.25</v>
      </c>
      <c r="G180" s="4">
        <v>0.75</v>
      </c>
      <c r="H180" s="5" t="s">
        <v>19</v>
      </c>
      <c r="I180" t="s">
        <v>26</v>
      </c>
      <c r="J180" t="s">
        <v>207</v>
      </c>
      <c r="K180" t="s">
        <v>39</v>
      </c>
      <c r="L180" t="s">
        <v>23</v>
      </c>
      <c r="M180" t="s">
        <v>24</v>
      </c>
      <c r="N180">
        <f>IF(Table1[[#This Row],[Akhir]]&lt;Table1[[#This Row],[Awal]],(Table1[[#This Row],[Akhir]]+1)-Table1[[#This Row],[Awal]],Table1[[#This Row],[Akhir]]-Table1[[#This Row],[Awal]])*24</f>
        <v>12</v>
      </c>
      <c r="O180" t="str">
        <f>IF(Table1[[#This Row],[Duration Real]]&gt;=6,"Major",
IF(Table1[[#This Row],[Duration Real]]&gt;=2,"Medium","Minor"))</f>
        <v>Major</v>
      </c>
    </row>
    <row r="181" spans="1:15" x14ac:dyDescent="0.35">
      <c r="A181" s="2">
        <v>46148</v>
      </c>
      <c r="B181" t="s">
        <v>94</v>
      </c>
      <c r="C181" t="s">
        <v>204</v>
      </c>
      <c r="D181" t="s">
        <v>205</v>
      </c>
      <c r="E181" t="s">
        <v>34</v>
      </c>
      <c r="F181" s="3">
        <v>0.75</v>
      </c>
      <c r="G181" s="4">
        <v>0.25</v>
      </c>
      <c r="H181" s="5" t="s">
        <v>19</v>
      </c>
      <c r="I181" t="s">
        <v>20</v>
      </c>
      <c r="J181" t="s">
        <v>207</v>
      </c>
      <c r="K181" t="s">
        <v>39</v>
      </c>
      <c r="L181" t="s">
        <v>23</v>
      </c>
      <c r="M181" t="s">
        <v>24</v>
      </c>
      <c r="N181">
        <f>IF(Table1[[#This Row],[Akhir]]&lt;Table1[[#This Row],[Awal]],(Table1[[#This Row],[Akhir]]+1)-Table1[[#This Row],[Awal]],Table1[[#This Row],[Akhir]]-Table1[[#This Row],[Awal]])*24</f>
        <v>12</v>
      </c>
      <c r="O181" t="str">
        <f>IF(Table1[[#This Row],[Duration Real]]&gt;=6,"Major",
IF(Table1[[#This Row],[Duration Real]]&gt;=2,"Medium","Minor"))</f>
        <v>Major</v>
      </c>
    </row>
    <row r="182" spans="1:15" x14ac:dyDescent="0.35">
      <c r="A182" s="2">
        <v>46148</v>
      </c>
      <c r="B182" t="s">
        <v>94</v>
      </c>
      <c r="C182" t="s">
        <v>101</v>
      </c>
      <c r="D182" t="s">
        <v>102</v>
      </c>
      <c r="E182" t="s">
        <v>34</v>
      </c>
      <c r="F182" s="3">
        <v>0.25</v>
      </c>
      <c r="G182" s="4">
        <v>0.75</v>
      </c>
      <c r="H182" s="5" t="s">
        <v>19</v>
      </c>
      <c r="I182" t="s">
        <v>26</v>
      </c>
      <c r="J182" t="s">
        <v>24</v>
      </c>
      <c r="K182" t="s">
        <v>22</v>
      </c>
      <c r="L182" t="s">
        <v>23</v>
      </c>
      <c r="M182" t="s">
        <v>24</v>
      </c>
      <c r="N182">
        <f>IF(Table1[[#This Row],[Akhir]]&lt;Table1[[#This Row],[Awal]],(Table1[[#This Row],[Akhir]]+1)-Table1[[#This Row],[Awal]],Table1[[#This Row],[Akhir]]-Table1[[#This Row],[Awal]])*24</f>
        <v>12</v>
      </c>
      <c r="O182" t="str">
        <f>IF(Table1[[#This Row],[Duration Real]]&gt;=6,"Major",
IF(Table1[[#This Row],[Duration Real]]&gt;=2,"Medium","Minor"))</f>
        <v>Major</v>
      </c>
    </row>
    <row r="183" spans="1:15" x14ac:dyDescent="0.35">
      <c r="A183" s="2">
        <v>46148</v>
      </c>
      <c r="B183" t="s">
        <v>94</v>
      </c>
      <c r="C183" t="s">
        <v>101</v>
      </c>
      <c r="D183" t="s">
        <v>102</v>
      </c>
      <c r="E183" t="s">
        <v>34</v>
      </c>
      <c r="F183" s="3">
        <v>0.75</v>
      </c>
      <c r="G183" s="4">
        <v>0.25</v>
      </c>
      <c r="H183" s="5" t="s">
        <v>19</v>
      </c>
      <c r="I183" t="s">
        <v>20</v>
      </c>
      <c r="J183" t="s">
        <v>24</v>
      </c>
      <c r="K183" t="s">
        <v>22</v>
      </c>
      <c r="L183" t="s">
        <v>23</v>
      </c>
      <c r="M183" t="s">
        <v>24</v>
      </c>
      <c r="N183">
        <f>IF(Table1[[#This Row],[Akhir]]&lt;Table1[[#This Row],[Awal]],(Table1[[#This Row],[Akhir]]+1)-Table1[[#This Row],[Awal]],Table1[[#This Row],[Akhir]]-Table1[[#This Row],[Awal]])*24</f>
        <v>12</v>
      </c>
      <c r="O183" t="str">
        <f>IF(Table1[[#This Row],[Duration Real]]&gt;=6,"Major",
IF(Table1[[#This Row],[Duration Real]]&gt;=2,"Medium","Minor"))</f>
        <v>Major</v>
      </c>
    </row>
    <row r="184" spans="1:15" x14ac:dyDescent="0.35">
      <c r="A184" s="2">
        <v>46149</v>
      </c>
      <c r="B184" t="s">
        <v>15</v>
      </c>
      <c r="C184" t="s">
        <v>16</v>
      </c>
      <c r="D184" t="s">
        <v>310</v>
      </c>
      <c r="E184" t="s">
        <v>247</v>
      </c>
      <c r="F184" s="3">
        <v>0.29930555555555555</v>
      </c>
      <c r="G184" s="4">
        <v>0.36805555555555558</v>
      </c>
      <c r="H184" s="5" t="s">
        <v>19</v>
      </c>
      <c r="I184" t="s">
        <v>26</v>
      </c>
      <c r="J184" t="s">
        <v>24</v>
      </c>
      <c r="K184" t="s">
        <v>22</v>
      </c>
      <c r="L184" t="s">
        <v>143</v>
      </c>
      <c r="M184" t="s">
        <v>24</v>
      </c>
      <c r="N184">
        <f>IF(Table1[[#This Row],[Akhir]]&lt;Table1[[#This Row],[Awal]],(Table1[[#This Row],[Akhir]]+1)-Table1[[#This Row],[Awal]],Table1[[#This Row],[Akhir]]-Table1[[#This Row],[Awal]])*24</f>
        <v>1.6500000000000008</v>
      </c>
      <c r="O184" t="str">
        <f>IF(Table1[[#This Row],[Duration Real]]&gt;=6,"Major",
IF(Table1[[#This Row],[Duration Real]]&gt;=2,"Medium","Minor"))</f>
        <v>Minor</v>
      </c>
    </row>
    <row r="185" spans="1:15" x14ac:dyDescent="0.35">
      <c r="A185" s="2">
        <v>46149</v>
      </c>
      <c r="B185" t="s">
        <v>15</v>
      </c>
      <c r="C185" t="s">
        <v>28</v>
      </c>
      <c r="D185" t="s">
        <v>311</v>
      </c>
      <c r="E185" t="s">
        <v>281</v>
      </c>
      <c r="F185" s="3">
        <v>0.54791666666666672</v>
      </c>
      <c r="G185" s="4">
        <v>0.61111111111111116</v>
      </c>
      <c r="H185" s="5" t="s">
        <v>19</v>
      </c>
      <c r="I185" t="s">
        <v>26</v>
      </c>
      <c r="J185" t="s">
        <v>312</v>
      </c>
      <c r="K185" t="s">
        <v>39</v>
      </c>
      <c r="L185" t="s">
        <v>143</v>
      </c>
      <c r="M185" t="s">
        <v>24</v>
      </c>
      <c r="N185">
        <f>IF(Table1[[#This Row],[Akhir]]&lt;Table1[[#This Row],[Awal]],(Table1[[#This Row],[Akhir]]+1)-Table1[[#This Row],[Awal]],Table1[[#This Row],[Akhir]]-Table1[[#This Row],[Awal]])*24</f>
        <v>1.5166666666666666</v>
      </c>
      <c r="O185" t="str">
        <f>IF(Table1[[#This Row],[Duration Real]]&gt;=6,"Major",
IF(Table1[[#This Row],[Duration Real]]&gt;=2,"Medium","Minor"))</f>
        <v>Minor</v>
      </c>
    </row>
    <row r="186" spans="1:15" x14ac:dyDescent="0.35">
      <c r="A186" s="2">
        <v>46149</v>
      </c>
      <c r="B186" t="s">
        <v>15</v>
      </c>
      <c r="C186" t="s">
        <v>32</v>
      </c>
      <c r="D186" t="s">
        <v>238</v>
      </c>
      <c r="E186" t="s">
        <v>38</v>
      </c>
      <c r="F186" s="3">
        <v>0.37013888888888891</v>
      </c>
      <c r="G186" s="4">
        <v>0.41180555555555554</v>
      </c>
      <c r="H186" s="5" t="s">
        <v>19</v>
      </c>
      <c r="I186" t="s">
        <v>26</v>
      </c>
      <c r="J186" t="s">
        <v>24</v>
      </c>
      <c r="K186" t="s">
        <v>39</v>
      </c>
      <c r="L186" t="s">
        <v>143</v>
      </c>
      <c r="M186" t="s">
        <v>24</v>
      </c>
      <c r="N186">
        <f>IF(Table1[[#This Row],[Akhir]]&lt;Table1[[#This Row],[Awal]],(Table1[[#This Row],[Akhir]]+1)-Table1[[#This Row],[Awal]],Table1[[#This Row],[Akhir]]-Table1[[#This Row],[Awal]])*24</f>
        <v>0.99999999999999911</v>
      </c>
      <c r="O186" t="str">
        <f>IF(Table1[[#This Row],[Duration Real]]&gt;=6,"Major",
IF(Table1[[#This Row],[Duration Real]]&gt;=2,"Medium","Minor"))</f>
        <v>Minor</v>
      </c>
    </row>
    <row r="187" spans="1:15" x14ac:dyDescent="0.35">
      <c r="A187" s="2">
        <v>46149</v>
      </c>
      <c r="B187" t="s">
        <v>15</v>
      </c>
      <c r="C187" t="s">
        <v>32</v>
      </c>
      <c r="D187" t="s">
        <v>313</v>
      </c>
      <c r="E187" t="s">
        <v>259</v>
      </c>
      <c r="F187" s="3">
        <v>0.78333333333333333</v>
      </c>
      <c r="G187" s="4">
        <v>0.98611111111111116</v>
      </c>
      <c r="H187" s="5" t="s">
        <v>19</v>
      </c>
      <c r="I187" t="s">
        <v>20</v>
      </c>
      <c r="J187" t="s">
        <v>24</v>
      </c>
      <c r="K187" t="s">
        <v>22</v>
      </c>
      <c r="L187" t="s">
        <v>43</v>
      </c>
      <c r="M187" t="s">
        <v>24</v>
      </c>
      <c r="N187">
        <f>IF(Table1[[#This Row],[Akhir]]&lt;Table1[[#This Row],[Awal]],(Table1[[#This Row],[Akhir]]+1)-Table1[[#This Row],[Awal]],Table1[[#This Row],[Akhir]]-Table1[[#This Row],[Awal]])*24</f>
        <v>4.866666666666668</v>
      </c>
      <c r="O187" t="str">
        <f>IF(Table1[[#This Row],[Duration Real]]&gt;=6,"Major",
IF(Table1[[#This Row],[Duration Real]]&gt;=2,"Medium","Minor"))</f>
        <v>Medium</v>
      </c>
    </row>
    <row r="188" spans="1:15" x14ac:dyDescent="0.35">
      <c r="A188" s="2">
        <v>46149</v>
      </c>
      <c r="B188" t="s">
        <v>15</v>
      </c>
      <c r="C188" t="s">
        <v>32</v>
      </c>
      <c r="D188" t="s">
        <v>314</v>
      </c>
      <c r="E188" t="s">
        <v>315</v>
      </c>
      <c r="F188" s="3">
        <v>0.12986111111111112</v>
      </c>
      <c r="G188" s="4">
        <v>0.25</v>
      </c>
      <c r="H188" s="5" t="s">
        <v>19</v>
      </c>
      <c r="I188" t="s">
        <v>20</v>
      </c>
      <c r="J188" t="s">
        <v>24</v>
      </c>
      <c r="K188" t="s">
        <v>22</v>
      </c>
      <c r="L188" t="s">
        <v>43</v>
      </c>
      <c r="M188" t="s">
        <v>24</v>
      </c>
      <c r="N188">
        <f>IF(Table1[[#This Row],[Akhir]]&lt;Table1[[#This Row],[Awal]],(Table1[[#This Row],[Akhir]]+1)-Table1[[#This Row],[Awal]],Table1[[#This Row],[Akhir]]-Table1[[#This Row],[Awal]])*24</f>
        <v>2.8833333333333329</v>
      </c>
      <c r="O188" t="str">
        <f>IF(Table1[[#This Row],[Duration Real]]&gt;=6,"Major",
IF(Table1[[#This Row],[Duration Real]]&gt;=2,"Medium","Minor"))</f>
        <v>Medium</v>
      </c>
    </row>
    <row r="189" spans="1:15" x14ac:dyDescent="0.35">
      <c r="A189" s="2">
        <v>46149</v>
      </c>
      <c r="B189" t="s">
        <v>15</v>
      </c>
      <c r="C189" t="s">
        <v>36</v>
      </c>
      <c r="D189" t="s">
        <v>316</v>
      </c>
      <c r="E189" t="s">
        <v>317</v>
      </c>
      <c r="F189" s="3">
        <v>0.25</v>
      </c>
      <c r="G189" s="4">
        <v>0.4826388888888889</v>
      </c>
      <c r="H189" s="5" t="s">
        <v>19</v>
      </c>
      <c r="I189" t="s">
        <v>26</v>
      </c>
      <c r="J189" t="s">
        <v>24</v>
      </c>
      <c r="K189" t="s">
        <v>46</v>
      </c>
      <c r="L189" t="s">
        <v>73</v>
      </c>
      <c r="M189" t="s">
        <v>24</v>
      </c>
      <c r="N189">
        <f>IF(Table1[[#This Row],[Akhir]]&lt;Table1[[#This Row],[Awal]],(Table1[[#This Row],[Akhir]]+1)-Table1[[#This Row],[Awal]],Table1[[#This Row],[Akhir]]-Table1[[#This Row],[Awal]])*24</f>
        <v>5.5833333333333339</v>
      </c>
      <c r="O189" t="str">
        <f>IF(Table1[[#This Row],[Duration Real]]&gt;=6,"Major",
IF(Table1[[#This Row],[Duration Real]]&gt;=2,"Medium","Minor"))</f>
        <v>Medium</v>
      </c>
    </row>
    <row r="190" spans="1:15" x14ac:dyDescent="0.35">
      <c r="A190" s="2">
        <v>46149</v>
      </c>
      <c r="B190" t="s">
        <v>15</v>
      </c>
      <c r="C190" t="s">
        <v>36</v>
      </c>
      <c r="D190" t="s">
        <v>228</v>
      </c>
      <c r="E190" t="s">
        <v>318</v>
      </c>
      <c r="F190" s="3">
        <v>0.75</v>
      </c>
      <c r="G190" s="4">
        <v>0.90277777777777779</v>
      </c>
      <c r="H190" s="5" t="s">
        <v>19</v>
      </c>
      <c r="I190" t="s">
        <v>20</v>
      </c>
      <c r="J190" t="s">
        <v>24</v>
      </c>
      <c r="K190" t="s">
        <v>46</v>
      </c>
      <c r="L190" t="s">
        <v>70</v>
      </c>
      <c r="M190" t="s">
        <v>24</v>
      </c>
      <c r="N190">
        <f>IF(Table1[[#This Row],[Akhir]]&lt;Table1[[#This Row],[Awal]],(Table1[[#This Row],[Akhir]]+1)-Table1[[#This Row],[Awal]],Table1[[#This Row],[Akhir]]-Table1[[#This Row],[Awal]])*24</f>
        <v>3.666666666666667</v>
      </c>
      <c r="O190" t="str">
        <f>IF(Table1[[#This Row],[Duration Real]]&gt;=6,"Major",
IF(Table1[[#This Row],[Duration Real]]&gt;=2,"Medium","Minor"))</f>
        <v>Medium</v>
      </c>
    </row>
    <row r="191" spans="1:15" x14ac:dyDescent="0.35">
      <c r="A191" s="2">
        <v>46149</v>
      </c>
      <c r="B191" t="s">
        <v>15</v>
      </c>
      <c r="C191" t="s">
        <v>36</v>
      </c>
      <c r="D191" t="s">
        <v>319</v>
      </c>
      <c r="E191" t="s">
        <v>291</v>
      </c>
      <c r="F191" s="3">
        <v>8.3333333333333329E-2</v>
      </c>
      <c r="G191" s="4">
        <v>0.14583333333333334</v>
      </c>
      <c r="H191" s="5" t="s">
        <v>19</v>
      </c>
      <c r="I191" t="s">
        <v>20</v>
      </c>
      <c r="J191" t="s">
        <v>24</v>
      </c>
      <c r="K191" t="s">
        <v>46</v>
      </c>
      <c r="L191" t="s">
        <v>46</v>
      </c>
      <c r="M191" t="s">
        <v>24</v>
      </c>
      <c r="N191">
        <f>IF(Table1[[#This Row],[Akhir]]&lt;Table1[[#This Row],[Awal]],(Table1[[#This Row],[Akhir]]+1)-Table1[[#This Row],[Awal]],Table1[[#This Row],[Akhir]]-Table1[[#This Row],[Awal]])*24</f>
        <v>1.5000000000000004</v>
      </c>
      <c r="O191" t="str">
        <f>IF(Table1[[#This Row],[Duration Real]]&gt;=6,"Major",
IF(Table1[[#This Row],[Duration Real]]&gt;=2,"Medium","Minor"))</f>
        <v>Minor</v>
      </c>
    </row>
    <row r="192" spans="1:15" x14ac:dyDescent="0.35">
      <c r="A192" s="2">
        <v>46149</v>
      </c>
      <c r="B192" t="s">
        <v>15</v>
      </c>
      <c r="C192" t="s">
        <v>41</v>
      </c>
      <c r="D192" t="s">
        <v>42</v>
      </c>
      <c r="E192" t="s">
        <v>34</v>
      </c>
      <c r="F192" s="3">
        <v>0.25</v>
      </c>
      <c r="G192" s="4">
        <v>0.75</v>
      </c>
      <c r="H192" s="5" t="s">
        <v>19</v>
      </c>
      <c r="I192" t="s">
        <v>26</v>
      </c>
      <c r="J192" t="s">
        <v>24</v>
      </c>
      <c r="K192" t="s">
        <v>39</v>
      </c>
      <c r="L192" t="s">
        <v>43</v>
      </c>
      <c r="M192" t="s">
        <v>24</v>
      </c>
      <c r="N192">
        <f>IF(Table1[[#This Row],[Akhir]]&lt;Table1[[#This Row],[Awal]],(Table1[[#This Row],[Akhir]]+1)-Table1[[#This Row],[Awal]],Table1[[#This Row],[Akhir]]-Table1[[#This Row],[Awal]])*24</f>
        <v>12</v>
      </c>
      <c r="O192" t="str">
        <f>IF(Table1[[#This Row],[Duration Real]]&gt;=6,"Major",
IF(Table1[[#This Row],[Duration Real]]&gt;=2,"Medium","Minor"))</f>
        <v>Major</v>
      </c>
    </row>
    <row r="193" spans="1:15" x14ac:dyDescent="0.35">
      <c r="A193" s="2">
        <v>46149</v>
      </c>
      <c r="B193" t="s">
        <v>15</v>
      </c>
      <c r="C193" t="s">
        <v>41</v>
      </c>
      <c r="D193" t="s">
        <v>42</v>
      </c>
      <c r="E193" t="s">
        <v>34</v>
      </c>
      <c r="F193" s="3">
        <v>0.75</v>
      </c>
      <c r="G193" s="4">
        <v>0.25</v>
      </c>
      <c r="H193" s="5" t="s">
        <v>19</v>
      </c>
      <c r="I193" t="s">
        <v>20</v>
      </c>
      <c r="J193" t="s">
        <v>24</v>
      </c>
      <c r="K193" t="s">
        <v>39</v>
      </c>
      <c r="L193" t="s">
        <v>43</v>
      </c>
      <c r="M193" t="s">
        <v>24</v>
      </c>
      <c r="N193">
        <f>IF(Table1[[#This Row],[Akhir]]&lt;Table1[[#This Row],[Awal]],(Table1[[#This Row],[Akhir]]+1)-Table1[[#This Row],[Awal]],Table1[[#This Row],[Akhir]]-Table1[[#This Row],[Awal]])*24</f>
        <v>12</v>
      </c>
      <c r="O193" t="str">
        <f>IF(Table1[[#This Row],[Duration Real]]&gt;=6,"Major",
IF(Table1[[#This Row],[Duration Real]]&gt;=2,"Medium","Minor"))</f>
        <v>Major</v>
      </c>
    </row>
    <row r="194" spans="1:15" x14ac:dyDescent="0.35">
      <c r="A194" s="2">
        <v>46149</v>
      </c>
      <c r="B194" t="s">
        <v>15</v>
      </c>
      <c r="C194" t="s">
        <v>44</v>
      </c>
      <c r="D194" t="s">
        <v>45</v>
      </c>
      <c r="E194" t="s">
        <v>34</v>
      </c>
      <c r="F194" s="3">
        <v>0.25</v>
      </c>
      <c r="G194" s="4">
        <v>0.75</v>
      </c>
      <c r="H194" s="5" t="s">
        <v>19</v>
      </c>
      <c r="I194" t="s">
        <v>26</v>
      </c>
      <c r="J194" t="s">
        <v>24</v>
      </c>
      <c r="K194" t="s">
        <v>46</v>
      </c>
      <c r="L194" t="s">
        <v>47</v>
      </c>
      <c r="M194" t="s">
        <v>24</v>
      </c>
      <c r="N194">
        <f>IF(Table1[[#This Row],[Akhir]]&lt;Table1[[#This Row],[Awal]],(Table1[[#This Row],[Akhir]]+1)-Table1[[#This Row],[Awal]],Table1[[#This Row],[Akhir]]-Table1[[#This Row],[Awal]])*24</f>
        <v>12</v>
      </c>
      <c r="O194" t="str">
        <f>IF(Table1[[#This Row],[Duration Real]]&gt;=6,"Major",
IF(Table1[[#This Row],[Duration Real]]&gt;=2,"Medium","Minor"))</f>
        <v>Major</v>
      </c>
    </row>
    <row r="195" spans="1:15" x14ac:dyDescent="0.35">
      <c r="A195" s="2">
        <v>46149</v>
      </c>
      <c r="B195" t="s">
        <v>15</v>
      </c>
      <c r="C195" t="s">
        <v>44</v>
      </c>
      <c r="D195" t="s">
        <v>45</v>
      </c>
      <c r="E195" t="s">
        <v>34</v>
      </c>
      <c r="F195" s="3">
        <v>0.75</v>
      </c>
      <c r="G195" s="4">
        <v>0.25</v>
      </c>
      <c r="H195" s="5" t="s">
        <v>19</v>
      </c>
      <c r="I195" t="s">
        <v>20</v>
      </c>
      <c r="J195" t="s">
        <v>24</v>
      </c>
      <c r="K195" t="s">
        <v>46</v>
      </c>
      <c r="L195" t="s">
        <v>47</v>
      </c>
      <c r="M195" t="s">
        <v>24</v>
      </c>
      <c r="N195">
        <f>IF(Table1[[#This Row],[Akhir]]&lt;Table1[[#This Row],[Awal]],(Table1[[#This Row],[Akhir]]+1)-Table1[[#This Row],[Awal]],Table1[[#This Row],[Akhir]]-Table1[[#This Row],[Awal]])*24</f>
        <v>12</v>
      </c>
      <c r="O195" t="str">
        <f>IF(Table1[[#This Row],[Duration Real]]&gt;=6,"Major",
IF(Table1[[#This Row],[Duration Real]]&gt;=2,"Medium","Minor"))</f>
        <v>Major</v>
      </c>
    </row>
    <row r="196" spans="1:15" x14ac:dyDescent="0.35">
      <c r="A196" s="2">
        <v>46149</v>
      </c>
      <c r="B196" t="s">
        <v>15</v>
      </c>
      <c r="C196" t="s">
        <v>52</v>
      </c>
      <c r="D196" t="s">
        <v>320</v>
      </c>
      <c r="E196" t="s">
        <v>321</v>
      </c>
      <c r="F196" s="3">
        <v>0.83611111111111114</v>
      </c>
      <c r="G196" s="4">
        <v>0.25</v>
      </c>
      <c r="H196" s="5" t="s">
        <v>19</v>
      </c>
      <c r="I196" t="s">
        <v>20</v>
      </c>
      <c r="J196" t="s">
        <v>24</v>
      </c>
      <c r="K196" t="s">
        <v>22</v>
      </c>
      <c r="L196" t="s">
        <v>322</v>
      </c>
      <c r="M196" t="s">
        <v>24</v>
      </c>
      <c r="N196">
        <f>IF(Table1[[#This Row],[Akhir]]&lt;Table1[[#This Row],[Awal]],(Table1[[#This Row],[Akhir]]+1)-Table1[[#This Row],[Awal]],Table1[[#This Row],[Akhir]]-Table1[[#This Row],[Awal]])*24</f>
        <v>9.9333333333333336</v>
      </c>
      <c r="O196" t="str">
        <f>IF(Table1[[#This Row],[Duration Real]]&gt;=6,"Major",
IF(Table1[[#This Row],[Duration Real]]&gt;=2,"Medium","Minor"))</f>
        <v>Major</v>
      </c>
    </row>
    <row r="197" spans="1:15" x14ac:dyDescent="0.35">
      <c r="A197" s="2">
        <v>46149</v>
      </c>
      <c r="B197" t="s">
        <v>15</v>
      </c>
      <c r="C197" t="s">
        <v>52</v>
      </c>
      <c r="D197" t="s">
        <v>323</v>
      </c>
      <c r="E197" t="s">
        <v>324</v>
      </c>
      <c r="F197" s="3">
        <v>0.28055555555555556</v>
      </c>
      <c r="G197" s="4">
        <v>0.29652777777777778</v>
      </c>
      <c r="H197" s="5" t="s">
        <v>19</v>
      </c>
      <c r="I197" t="s">
        <v>26</v>
      </c>
      <c r="J197" t="s">
        <v>24</v>
      </c>
      <c r="K197" t="s">
        <v>22</v>
      </c>
      <c r="L197" t="s">
        <v>150</v>
      </c>
      <c r="M197" t="s">
        <v>24</v>
      </c>
      <c r="N197">
        <f>IF(Table1[[#This Row],[Akhir]]&lt;Table1[[#This Row],[Awal]],(Table1[[#This Row],[Akhir]]+1)-Table1[[#This Row],[Awal]],Table1[[#This Row],[Akhir]]-Table1[[#This Row],[Awal]])*24</f>
        <v>0.3833333333333333</v>
      </c>
      <c r="O197" t="str">
        <f>IF(Table1[[#This Row],[Duration Real]]&gt;=6,"Major",
IF(Table1[[#This Row],[Duration Real]]&gt;=2,"Medium","Minor"))</f>
        <v>Minor</v>
      </c>
    </row>
    <row r="198" spans="1:15" x14ac:dyDescent="0.35">
      <c r="A198" s="2">
        <v>46149</v>
      </c>
      <c r="B198" t="s">
        <v>15</v>
      </c>
      <c r="C198" t="s">
        <v>57</v>
      </c>
      <c r="D198" t="s">
        <v>283</v>
      </c>
      <c r="E198" t="s">
        <v>325</v>
      </c>
      <c r="F198" s="3">
        <v>0.25</v>
      </c>
      <c r="G198" s="4">
        <v>0.25624999999999998</v>
      </c>
      <c r="H198" s="5" t="s">
        <v>19</v>
      </c>
      <c r="I198" t="s">
        <v>26</v>
      </c>
      <c r="J198" t="s">
        <v>285</v>
      </c>
      <c r="K198" t="s">
        <v>22</v>
      </c>
      <c r="L198" t="s">
        <v>286</v>
      </c>
      <c r="M198" t="s">
        <v>24</v>
      </c>
      <c r="N198">
        <f>IF(Table1[[#This Row],[Akhir]]&lt;Table1[[#This Row],[Awal]],(Table1[[#This Row],[Akhir]]+1)-Table1[[#This Row],[Awal]],Table1[[#This Row],[Akhir]]-Table1[[#This Row],[Awal]])*24</f>
        <v>0.14999999999999947</v>
      </c>
      <c r="O198" t="str">
        <f>IF(Table1[[#This Row],[Duration Real]]&gt;=6,"Major",
IF(Table1[[#This Row],[Duration Real]]&gt;=2,"Medium","Minor"))</f>
        <v>Minor</v>
      </c>
    </row>
    <row r="199" spans="1:15" x14ac:dyDescent="0.35">
      <c r="A199" s="2">
        <v>46149</v>
      </c>
      <c r="B199" t="s">
        <v>15</v>
      </c>
      <c r="C199" t="s">
        <v>57</v>
      </c>
      <c r="D199" t="s">
        <v>326</v>
      </c>
      <c r="E199" t="s">
        <v>327</v>
      </c>
      <c r="F199" s="3">
        <v>0.75</v>
      </c>
      <c r="G199" s="4">
        <v>0.91666666666666663</v>
      </c>
      <c r="H199" s="5" t="s">
        <v>19</v>
      </c>
      <c r="I199" t="s">
        <v>20</v>
      </c>
      <c r="J199" t="s">
        <v>24</v>
      </c>
      <c r="K199" t="s">
        <v>22</v>
      </c>
      <c r="L199" t="s">
        <v>31</v>
      </c>
      <c r="M199" t="s">
        <v>24</v>
      </c>
      <c r="N199">
        <f>IF(Table1[[#This Row],[Akhir]]&lt;Table1[[#This Row],[Awal]],(Table1[[#This Row],[Akhir]]+1)-Table1[[#This Row],[Awal]],Table1[[#This Row],[Akhir]]-Table1[[#This Row],[Awal]])*24</f>
        <v>3.9999999999999991</v>
      </c>
      <c r="O199" t="str">
        <f>IF(Table1[[#This Row],[Duration Real]]&gt;=6,"Major",
IF(Table1[[#This Row],[Duration Real]]&gt;=2,"Medium","Minor"))</f>
        <v>Medium</v>
      </c>
    </row>
    <row r="200" spans="1:15" x14ac:dyDescent="0.35">
      <c r="A200" s="2">
        <v>46149</v>
      </c>
      <c r="B200" t="s">
        <v>15</v>
      </c>
      <c r="C200" t="s">
        <v>57</v>
      </c>
      <c r="D200" t="s">
        <v>190</v>
      </c>
      <c r="E200" t="s">
        <v>50</v>
      </c>
      <c r="F200" s="3">
        <v>0.59236111111111112</v>
      </c>
      <c r="G200" s="4">
        <v>0.65138888888888891</v>
      </c>
      <c r="H200" s="5" t="s">
        <v>19</v>
      </c>
      <c r="I200" t="s">
        <v>26</v>
      </c>
      <c r="J200" t="s">
        <v>24</v>
      </c>
      <c r="K200" t="s">
        <v>22</v>
      </c>
      <c r="L200" t="s">
        <v>328</v>
      </c>
      <c r="M200" t="s">
        <v>24</v>
      </c>
      <c r="N200">
        <f>IF(Table1[[#This Row],[Akhir]]&lt;Table1[[#This Row],[Awal]],(Table1[[#This Row],[Akhir]]+1)-Table1[[#This Row],[Awal]],Table1[[#This Row],[Akhir]]-Table1[[#This Row],[Awal]])*24</f>
        <v>1.416666666666667</v>
      </c>
      <c r="O200" t="str">
        <f>IF(Table1[[#This Row],[Duration Real]]&gt;=6,"Major",
IF(Table1[[#This Row],[Duration Real]]&gt;=2,"Medium","Minor"))</f>
        <v>Minor</v>
      </c>
    </row>
    <row r="201" spans="1:15" x14ac:dyDescent="0.35">
      <c r="A201" s="2">
        <v>46149</v>
      </c>
      <c r="B201" t="s">
        <v>15</v>
      </c>
      <c r="C201" t="s">
        <v>57</v>
      </c>
      <c r="D201" t="s">
        <v>190</v>
      </c>
      <c r="E201" t="s">
        <v>329</v>
      </c>
      <c r="F201" s="3">
        <v>0.67986111111111114</v>
      </c>
      <c r="G201" s="4">
        <v>0.75</v>
      </c>
      <c r="H201" s="5" t="s">
        <v>19</v>
      </c>
      <c r="I201" t="s">
        <v>26</v>
      </c>
      <c r="J201" t="s">
        <v>330</v>
      </c>
      <c r="K201" t="s">
        <v>22</v>
      </c>
      <c r="L201" t="s">
        <v>328</v>
      </c>
      <c r="M201" t="s">
        <v>24</v>
      </c>
      <c r="N201">
        <f>IF(Table1[[#This Row],[Akhir]]&lt;Table1[[#This Row],[Awal]],(Table1[[#This Row],[Akhir]]+1)-Table1[[#This Row],[Awal]],Table1[[#This Row],[Akhir]]-Table1[[#This Row],[Awal]])*24</f>
        <v>1.6833333333333327</v>
      </c>
      <c r="O201" t="str">
        <f>IF(Table1[[#This Row],[Duration Real]]&gt;=6,"Major",
IF(Table1[[#This Row],[Duration Real]]&gt;=2,"Medium","Minor"))</f>
        <v>Minor</v>
      </c>
    </row>
    <row r="202" spans="1:15" x14ac:dyDescent="0.35">
      <c r="A202" s="2">
        <v>46149</v>
      </c>
      <c r="B202" t="s">
        <v>15</v>
      </c>
      <c r="C202" t="s">
        <v>64</v>
      </c>
      <c r="D202" t="s">
        <v>89</v>
      </c>
      <c r="E202" t="s">
        <v>331</v>
      </c>
      <c r="F202" s="3">
        <v>0.36180555555555555</v>
      </c>
      <c r="G202" s="4">
        <v>0.75</v>
      </c>
      <c r="H202" s="5" t="s">
        <v>19</v>
      </c>
      <c r="I202" t="s">
        <v>26</v>
      </c>
      <c r="J202" t="s">
        <v>24</v>
      </c>
      <c r="K202" t="s">
        <v>39</v>
      </c>
      <c r="L202" t="s">
        <v>143</v>
      </c>
      <c r="M202" t="s">
        <v>24</v>
      </c>
      <c r="N202">
        <f>IF(Table1[[#This Row],[Akhir]]&lt;Table1[[#This Row],[Awal]],(Table1[[#This Row],[Akhir]]+1)-Table1[[#This Row],[Awal]],Table1[[#This Row],[Akhir]]-Table1[[#This Row],[Awal]])*24</f>
        <v>9.3166666666666664</v>
      </c>
      <c r="O202" t="str">
        <f>IF(Table1[[#This Row],[Duration Real]]&gt;=6,"Major",
IF(Table1[[#This Row],[Duration Real]]&gt;=2,"Medium","Minor"))</f>
        <v>Major</v>
      </c>
    </row>
    <row r="203" spans="1:15" x14ac:dyDescent="0.35">
      <c r="A203" s="2">
        <v>46149</v>
      </c>
      <c r="B203" t="s">
        <v>15</v>
      </c>
      <c r="C203" t="s">
        <v>64</v>
      </c>
      <c r="D203" t="s">
        <v>296</v>
      </c>
      <c r="E203" t="s">
        <v>54</v>
      </c>
      <c r="F203" s="3">
        <v>0.25</v>
      </c>
      <c r="G203" s="4">
        <v>0.30416666666666664</v>
      </c>
      <c r="H203" s="5" t="s">
        <v>19</v>
      </c>
      <c r="I203" t="s">
        <v>26</v>
      </c>
      <c r="J203" t="s">
        <v>24</v>
      </c>
      <c r="K203" t="s">
        <v>22</v>
      </c>
      <c r="L203" t="s">
        <v>298</v>
      </c>
      <c r="M203" t="s">
        <v>24</v>
      </c>
      <c r="N203">
        <f>IF(Table1[[#This Row],[Akhir]]&lt;Table1[[#This Row],[Awal]],(Table1[[#This Row],[Akhir]]+1)-Table1[[#This Row],[Awal]],Table1[[#This Row],[Akhir]]-Table1[[#This Row],[Awal]])*24</f>
        <v>1.2999999999999994</v>
      </c>
      <c r="O203" t="str">
        <f>IF(Table1[[#This Row],[Duration Real]]&gt;=6,"Major",
IF(Table1[[#This Row],[Duration Real]]&gt;=2,"Medium","Minor"))</f>
        <v>Minor</v>
      </c>
    </row>
    <row r="204" spans="1:15" x14ac:dyDescent="0.35">
      <c r="A204" s="2">
        <v>46149</v>
      </c>
      <c r="B204" t="s">
        <v>15</v>
      </c>
      <c r="C204" t="s">
        <v>64</v>
      </c>
      <c r="D204" t="s">
        <v>332</v>
      </c>
      <c r="E204" t="s">
        <v>333</v>
      </c>
      <c r="F204" s="3">
        <v>0.8833333333333333</v>
      </c>
      <c r="G204" s="4">
        <v>0.25</v>
      </c>
      <c r="H204" s="5" t="s">
        <v>19</v>
      </c>
      <c r="I204" t="s">
        <v>20</v>
      </c>
      <c r="J204" t="s">
        <v>24</v>
      </c>
      <c r="K204" t="s">
        <v>22</v>
      </c>
      <c r="L204" t="s">
        <v>43</v>
      </c>
      <c r="M204" t="s">
        <v>24</v>
      </c>
      <c r="N204">
        <f>IF(Table1[[#This Row],[Akhir]]&lt;Table1[[#This Row],[Awal]],(Table1[[#This Row],[Akhir]]+1)-Table1[[#This Row],[Awal]],Table1[[#This Row],[Akhir]]-Table1[[#This Row],[Awal]])*24</f>
        <v>8.8000000000000007</v>
      </c>
      <c r="O204" t="str">
        <f>IF(Table1[[#This Row],[Duration Real]]&gt;=6,"Major",
IF(Table1[[#This Row],[Duration Real]]&gt;=2,"Medium","Minor"))</f>
        <v>Major</v>
      </c>
    </row>
    <row r="205" spans="1:15" x14ac:dyDescent="0.35">
      <c r="A205" s="2">
        <v>46149</v>
      </c>
      <c r="B205" t="s">
        <v>15</v>
      </c>
      <c r="C205" t="s">
        <v>76</v>
      </c>
      <c r="D205" t="s">
        <v>334</v>
      </c>
      <c r="E205" t="s">
        <v>335</v>
      </c>
      <c r="F205" s="3">
        <v>0.25</v>
      </c>
      <c r="G205" s="4">
        <v>0.33055555555555555</v>
      </c>
      <c r="H205" s="5" t="s">
        <v>19</v>
      </c>
      <c r="I205" t="s">
        <v>26</v>
      </c>
      <c r="J205" t="s">
        <v>336</v>
      </c>
      <c r="K205" t="s">
        <v>83</v>
      </c>
      <c r="L205" t="s">
        <v>84</v>
      </c>
      <c r="M205" t="s">
        <v>24</v>
      </c>
      <c r="N205">
        <f>IF(Table1[[#This Row],[Akhir]]&lt;Table1[[#This Row],[Awal]],(Table1[[#This Row],[Akhir]]+1)-Table1[[#This Row],[Awal]],Table1[[#This Row],[Akhir]]-Table1[[#This Row],[Awal]])*24</f>
        <v>1.9333333333333331</v>
      </c>
      <c r="O205" t="str">
        <f>IF(Table1[[#This Row],[Duration Real]]&gt;=6,"Major",
IF(Table1[[#This Row],[Duration Real]]&gt;=2,"Medium","Minor"))</f>
        <v>Minor</v>
      </c>
    </row>
    <row r="206" spans="1:15" x14ac:dyDescent="0.35">
      <c r="A206" s="2">
        <v>46149</v>
      </c>
      <c r="B206" t="s">
        <v>15</v>
      </c>
      <c r="C206" t="s">
        <v>76</v>
      </c>
      <c r="D206" t="s">
        <v>337</v>
      </c>
      <c r="E206" t="s">
        <v>54</v>
      </c>
      <c r="F206" s="3">
        <v>0.75</v>
      </c>
      <c r="G206" s="4">
        <v>0.8041666666666667</v>
      </c>
      <c r="H206" s="5" t="s">
        <v>19</v>
      </c>
      <c r="I206" t="s">
        <v>20</v>
      </c>
      <c r="J206" t="s">
        <v>24</v>
      </c>
      <c r="K206" t="s">
        <v>83</v>
      </c>
      <c r="L206" t="s">
        <v>338</v>
      </c>
      <c r="M206" t="s">
        <v>24</v>
      </c>
      <c r="N206">
        <f>IF(Table1[[#This Row],[Akhir]]&lt;Table1[[#This Row],[Awal]],(Table1[[#This Row],[Akhir]]+1)-Table1[[#This Row],[Awal]],Table1[[#This Row],[Akhir]]-Table1[[#This Row],[Awal]])*24</f>
        <v>1.3000000000000007</v>
      </c>
      <c r="O206" t="str">
        <f>IF(Table1[[#This Row],[Duration Real]]&gt;=6,"Major",
IF(Table1[[#This Row],[Duration Real]]&gt;=2,"Medium","Minor"))</f>
        <v>Minor</v>
      </c>
    </row>
    <row r="207" spans="1:15" x14ac:dyDescent="0.35">
      <c r="A207" s="2">
        <v>46149</v>
      </c>
      <c r="B207" t="s">
        <v>15</v>
      </c>
      <c r="C207" t="s">
        <v>85</v>
      </c>
      <c r="D207" t="s">
        <v>86</v>
      </c>
      <c r="E207" t="s">
        <v>34</v>
      </c>
      <c r="F207" s="3">
        <v>0.25</v>
      </c>
      <c r="G207" s="4">
        <v>0.75</v>
      </c>
      <c r="H207" s="5" t="s">
        <v>19</v>
      </c>
      <c r="I207" t="s">
        <v>26</v>
      </c>
      <c r="J207" t="s">
        <v>24</v>
      </c>
      <c r="K207" t="s">
        <v>22</v>
      </c>
      <c r="L207" t="s">
        <v>87</v>
      </c>
      <c r="M207" t="s">
        <v>24</v>
      </c>
      <c r="N207">
        <f>IF(Table1[[#This Row],[Akhir]]&lt;Table1[[#This Row],[Awal]],(Table1[[#This Row],[Akhir]]+1)-Table1[[#This Row],[Awal]],Table1[[#This Row],[Akhir]]-Table1[[#This Row],[Awal]])*24</f>
        <v>12</v>
      </c>
      <c r="O207" t="str">
        <f>IF(Table1[[#This Row],[Duration Real]]&gt;=6,"Major",
IF(Table1[[#This Row],[Duration Real]]&gt;=2,"Medium","Minor"))</f>
        <v>Major</v>
      </c>
    </row>
    <row r="208" spans="1:15" x14ac:dyDescent="0.35">
      <c r="A208" s="2">
        <v>46149</v>
      </c>
      <c r="B208" t="s">
        <v>15</v>
      </c>
      <c r="C208" t="s">
        <v>85</v>
      </c>
      <c r="D208" t="s">
        <v>86</v>
      </c>
      <c r="E208" t="s">
        <v>34</v>
      </c>
      <c r="F208" s="3">
        <v>0.75</v>
      </c>
      <c r="G208" s="4">
        <v>0.25</v>
      </c>
      <c r="H208" s="5" t="s">
        <v>19</v>
      </c>
      <c r="I208" t="s">
        <v>20</v>
      </c>
      <c r="J208" t="s">
        <v>24</v>
      </c>
      <c r="K208" t="s">
        <v>22</v>
      </c>
      <c r="L208" t="s">
        <v>87</v>
      </c>
      <c r="M208" t="s">
        <v>24</v>
      </c>
      <c r="N208">
        <f>IF(Table1[[#This Row],[Akhir]]&lt;Table1[[#This Row],[Awal]],(Table1[[#This Row],[Akhir]]+1)-Table1[[#This Row],[Awal]],Table1[[#This Row],[Akhir]]-Table1[[#This Row],[Awal]])*24</f>
        <v>12</v>
      </c>
      <c r="O208" t="str">
        <f>IF(Table1[[#This Row],[Duration Real]]&gt;=6,"Major",
IF(Table1[[#This Row],[Duration Real]]&gt;=2,"Medium","Minor"))</f>
        <v>Major</v>
      </c>
    </row>
    <row r="209" spans="1:15" x14ac:dyDescent="0.35">
      <c r="A209" s="2">
        <v>46149</v>
      </c>
      <c r="B209" t="s">
        <v>15</v>
      </c>
      <c r="C209" t="s">
        <v>88</v>
      </c>
      <c r="D209" t="s">
        <v>49</v>
      </c>
      <c r="E209" t="s">
        <v>339</v>
      </c>
      <c r="F209" s="3">
        <v>0.62638888888888888</v>
      </c>
      <c r="G209" s="4">
        <v>0.65694444444444444</v>
      </c>
      <c r="H209" s="5" t="s">
        <v>19</v>
      </c>
      <c r="I209" t="s">
        <v>26</v>
      </c>
      <c r="J209" t="s">
        <v>24</v>
      </c>
      <c r="K209" t="s">
        <v>22</v>
      </c>
      <c r="L209" t="s">
        <v>340</v>
      </c>
      <c r="M209" t="s">
        <v>24</v>
      </c>
      <c r="N209">
        <f>IF(Table1[[#This Row],[Akhir]]&lt;Table1[[#This Row],[Awal]],(Table1[[#This Row],[Akhir]]+1)-Table1[[#This Row],[Awal]],Table1[[#This Row],[Akhir]]-Table1[[#This Row],[Awal]])*24</f>
        <v>0.73333333333333339</v>
      </c>
      <c r="O209" t="str">
        <f>IF(Table1[[#This Row],[Duration Real]]&gt;=6,"Major",
IF(Table1[[#This Row],[Duration Real]]&gt;=2,"Medium","Minor"))</f>
        <v>Minor</v>
      </c>
    </row>
    <row r="210" spans="1:15" x14ac:dyDescent="0.35">
      <c r="A210" s="2">
        <v>46149</v>
      </c>
      <c r="B210" t="s">
        <v>15</v>
      </c>
      <c r="C210" t="s">
        <v>88</v>
      </c>
      <c r="D210" t="s">
        <v>341</v>
      </c>
      <c r="E210" t="s">
        <v>342</v>
      </c>
      <c r="F210" s="3">
        <v>0.78611111111111109</v>
      </c>
      <c r="G210" s="4">
        <v>0.25</v>
      </c>
      <c r="H210" s="5" t="s">
        <v>19</v>
      </c>
      <c r="I210" t="s">
        <v>20</v>
      </c>
      <c r="J210" t="s">
        <v>24</v>
      </c>
      <c r="K210" t="s">
        <v>22</v>
      </c>
      <c r="L210" t="s">
        <v>23</v>
      </c>
      <c r="M210" t="s">
        <v>24</v>
      </c>
      <c r="N210">
        <f>IF(Table1[[#This Row],[Akhir]]&lt;Table1[[#This Row],[Awal]],(Table1[[#This Row],[Akhir]]+1)-Table1[[#This Row],[Awal]],Table1[[#This Row],[Akhir]]-Table1[[#This Row],[Awal]])*24</f>
        <v>11.133333333333333</v>
      </c>
      <c r="O210" t="str">
        <f>IF(Table1[[#This Row],[Duration Real]]&gt;=6,"Major",
IF(Table1[[#This Row],[Duration Real]]&gt;=2,"Medium","Minor"))</f>
        <v>Major</v>
      </c>
    </row>
    <row r="211" spans="1:15" x14ac:dyDescent="0.35">
      <c r="A211" s="2">
        <v>46149</v>
      </c>
      <c r="B211" t="s">
        <v>15</v>
      </c>
      <c r="C211" t="s">
        <v>118</v>
      </c>
      <c r="D211" t="s">
        <v>96</v>
      </c>
      <c r="E211" t="s">
        <v>343</v>
      </c>
      <c r="F211" s="3">
        <v>0.84513888888888888</v>
      </c>
      <c r="G211" s="4">
        <v>0.25</v>
      </c>
      <c r="H211" s="5" t="s">
        <v>19</v>
      </c>
      <c r="I211" t="s">
        <v>20</v>
      </c>
      <c r="J211" t="s">
        <v>344</v>
      </c>
      <c r="K211" t="s">
        <v>22</v>
      </c>
      <c r="L211" t="s">
        <v>345</v>
      </c>
      <c r="M211" t="s">
        <v>24</v>
      </c>
      <c r="N211">
        <f>IF(Table1[[#This Row],[Akhir]]&lt;Table1[[#This Row],[Awal]],(Table1[[#This Row],[Akhir]]+1)-Table1[[#This Row],[Awal]],Table1[[#This Row],[Akhir]]-Table1[[#This Row],[Awal]])*24</f>
        <v>9.7166666666666668</v>
      </c>
      <c r="O211" t="str">
        <f>IF(Table1[[#This Row],[Duration Real]]&gt;=6,"Major",
IF(Table1[[#This Row],[Duration Real]]&gt;=2,"Medium","Minor"))</f>
        <v>Major</v>
      </c>
    </row>
    <row r="212" spans="1:15" x14ac:dyDescent="0.35">
      <c r="A212" s="2">
        <v>46149</v>
      </c>
      <c r="B212" t="s">
        <v>94</v>
      </c>
      <c r="C212" t="s">
        <v>95</v>
      </c>
      <c r="D212" t="s">
        <v>346</v>
      </c>
      <c r="E212" t="s">
        <v>347</v>
      </c>
      <c r="F212" s="3">
        <v>0.41111111111111109</v>
      </c>
      <c r="G212" s="4">
        <v>0.59027777777777779</v>
      </c>
      <c r="H212" s="5" t="s">
        <v>19</v>
      </c>
      <c r="I212" t="s">
        <v>26</v>
      </c>
      <c r="J212" t="s">
        <v>348</v>
      </c>
      <c r="K212" t="s">
        <v>39</v>
      </c>
      <c r="L212" t="s">
        <v>43</v>
      </c>
      <c r="M212" t="s">
        <v>24</v>
      </c>
      <c r="N212">
        <f>IF(Table1[[#This Row],[Akhir]]&lt;Table1[[#This Row],[Awal]],(Table1[[#This Row],[Akhir]]+1)-Table1[[#This Row],[Awal]],Table1[[#This Row],[Akhir]]-Table1[[#This Row],[Awal]])*24</f>
        <v>4.3000000000000007</v>
      </c>
      <c r="O212" t="str">
        <f>IF(Table1[[#This Row],[Duration Real]]&gt;=6,"Major",
IF(Table1[[#This Row],[Duration Real]]&gt;=2,"Medium","Minor"))</f>
        <v>Medium</v>
      </c>
    </row>
    <row r="213" spans="1:15" x14ac:dyDescent="0.35">
      <c r="A213" s="2">
        <v>46149</v>
      </c>
      <c r="B213" t="s">
        <v>94</v>
      </c>
      <c r="C213" t="s">
        <v>95</v>
      </c>
      <c r="D213" t="s">
        <v>349</v>
      </c>
      <c r="E213" t="s">
        <v>77</v>
      </c>
      <c r="F213" s="3">
        <v>0.70138888888888884</v>
      </c>
      <c r="G213" s="4">
        <v>0.75</v>
      </c>
      <c r="H213" s="5" t="s">
        <v>19</v>
      </c>
      <c r="I213" t="s">
        <v>26</v>
      </c>
      <c r="J213" t="s">
        <v>350</v>
      </c>
      <c r="K213" t="s">
        <v>22</v>
      </c>
      <c r="L213" t="s">
        <v>143</v>
      </c>
      <c r="M213" t="s">
        <v>24</v>
      </c>
      <c r="N213">
        <f>IF(Table1[[#This Row],[Akhir]]&lt;Table1[[#This Row],[Awal]],(Table1[[#This Row],[Akhir]]+1)-Table1[[#This Row],[Awal]],Table1[[#This Row],[Akhir]]-Table1[[#This Row],[Awal]])*24</f>
        <v>1.1666666666666679</v>
      </c>
      <c r="O213" t="str">
        <f>IF(Table1[[#This Row],[Duration Real]]&gt;=6,"Major",
IF(Table1[[#This Row],[Duration Real]]&gt;=2,"Medium","Minor"))</f>
        <v>Minor</v>
      </c>
    </row>
    <row r="214" spans="1:15" x14ac:dyDescent="0.35">
      <c r="A214" s="2">
        <v>46149</v>
      </c>
      <c r="B214" t="s">
        <v>94</v>
      </c>
      <c r="C214" t="s">
        <v>99</v>
      </c>
      <c r="D214" t="s">
        <v>351</v>
      </c>
      <c r="E214" t="s">
        <v>144</v>
      </c>
      <c r="F214" s="3">
        <v>0.1</v>
      </c>
      <c r="G214" s="4">
        <v>0.14305555555555555</v>
      </c>
      <c r="H214" s="5" t="s">
        <v>19</v>
      </c>
      <c r="I214" t="s">
        <v>20</v>
      </c>
      <c r="J214" t="s">
        <v>24</v>
      </c>
      <c r="K214" t="s">
        <v>22</v>
      </c>
      <c r="L214" t="s">
        <v>352</v>
      </c>
      <c r="M214" t="s">
        <v>24</v>
      </c>
      <c r="N214">
        <f>IF(Table1[[#This Row],[Akhir]]&lt;Table1[[#This Row],[Awal]],(Table1[[#This Row],[Akhir]]+1)-Table1[[#This Row],[Awal]],Table1[[#This Row],[Akhir]]-Table1[[#This Row],[Awal]])*24</f>
        <v>1.033333333333333</v>
      </c>
      <c r="O214" t="str">
        <f>IF(Table1[[#This Row],[Duration Real]]&gt;=6,"Major",
IF(Table1[[#This Row],[Duration Real]]&gt;=2,"Medium","Minor"))</f>
        <v>Minor</v>
      </c>
    </row>
    <row r="215" spans="1:15" x14ac:dyDescent="0.35">
      <c r="A215" s="2">
        <v>46149</v>
      </c>
      <c r="B215" t="s">
        <v>94</v>
      </c>
      <c r="C215" t="s">
        <v>204</v>
      </c>
      <c r="D215" t="s">
        <v>205</v>
      </c>
      <c r="E215" t="s">
        <v>34</v>
      </c>
      <c r="F215" s="3">
        <v>0.25</v>
      </c>
      <c r="G215" s="4">
        <v>0.75</v>
      </c>
      <c r="H215" s="5" t="s">
        <v>19</v>
      </c>
      <c r="I215" t="s">
        <v>26</v>
      </c>
      <c r="J215" t="s">
        <v>207</v>
      </c>
      <c r="K215" t="s">
        <v>39</v>
      </c>
      <c r="L215" t="s">
        <v>23</v>
      </c>
      <c r="M215" t="s">
        <v>24</v>
      </c>
      <c r="N215">
        <f>IF(Table1[[#This Row],[Akhir]]&lt;Table1[[#This Row],[Awal]],(Table1[[#This Row],[Akhir]]+1)-Table1[[#This Row],[Awal]],Table1[[#This Row],[Akhir]]-Table1[[#This Row],[Awal]])*24</f>
        <v>12</v>
      </c>
      <c r="O215" t="str">
        <f>IF(Table1[[#This Row],[Duration Real]]&gt;=6,"Major",
IF(Table1[[#This Row],[Duration Real]]&gt;=2,"Medium","Minor"))</f>
        <v>Major</v>
      </c>
    </row>
    <row r="216" spans="1:15" x14ac:dyDescent="0.35">
      <c r="A216" s="2">
        <v>46149</v>
      </c>
      <c r="B216" t="s">
        <v>94</v>
      </c>
      <c r="C216" t="s">
        <v>204</v>
      </c>
      <c r="D216" t="s">
        <v>205</v>
      </c>
      <c r="E216" t="s">
        <v>34</v>
      </c>
      <c r="F216" s="3">
        <v>0.75</v>
      </c>
      <c r="G216" s="4">
        <v>0.25</v>
      </c>
      <c r="H216" s="5" t="s">
        <v>19</v>
      </c>
      <c r="I216" t="s">
        <v>20</v>
      </c>
      <c r="J216" t="s">
        <v>207</v>
      </c>
      <c r="K216" t="s">
        <v>39</v>
      </c>
      <c r="L216" t="s">
        <v>23</v>
      </c>
      <c r="M216" t="s">
        <v>24</v>
      </c>
      <c r="N216">
        <f>IF(Table1[[#This Row],[Akhir]]&lt;Table1[[#This Row],[Awal]],(Table1[[#This Row],[Akhir]]+1)-Table1[[#This Row],[Awal]],Table1[[#This Row],[Akhir]]-Table1[[#This Row],[Awal]])*24</f>
        <v>12</v>
      </c>
      <c r="O216" t="str">
        <f>IF(Table1[[#This Row],[Duration Real]]&gt;=6,"Major",
IF(Table1[[#This Row],[Duration Real]]&gt;=2,"Medium","Minor"))</f>
        <v>Major</v>
      </c>
    </row>
    <row r="217" spans="1:15" x14ac:dyDescent="0.35">
      <c r="A217" s="2">
        <v>46149</v>
      </c>
      <c r="B217" t="s">
        <v>94</v>
      </c>
      <c r="C217" t="s">
        <v>101</v>
      </c>
      <c r="D217" t="s">
        <v>102</v>
      </c>
      <c r="E217" t="s">
        <v>34</v>
      </c>
      <c r="F217" s="3">
        <v>0.25</v>
      </c>
      <c r="G217" s="4">
        <v>0.75</v>
      </c>
      <c r="H217" s="5" t="s">
        <v>19</v>
      </c>
      <c r="I217" t="s">
        <v>26</v>
      </c>
      <c r="J217" t="s">
        <v>24</v>
      </c>
      <c r="K217" t="s">
        <v>22</v>
      </c>
      <c r="L217" t="s">
        <v>23</v>
      </c>
      <c r="M217" t="s">
        <v>24</v>
      </c>
      <c r="N217">
        <f>IF(Table1[[#This Row],[Akhir]]&lt;Table1[[#This Row],[Awal]],(Table1[[#This Row],[Akhir]]+1)-Table1[[#This Row],[Awal]],Table1[[#This Row],[Akhir]]-Table1[[#This Row],[Awal]])*24</f>
        <v>12</v>
      </c>
      <c r="O217" t="str">
        <f>IF(Table1[[#This Row],[Duration Real]]&gt;=6,"Major",
IF(Table1[[#This Row],[Duration Real]]&gt;=2,"Medium","Minor"))</f>
        <v>Major</v>
      </c>
    </row>
    <row r="218" spans="1:15" x14ac:dyDescent="0.35">
      <c r="A218" s="2">
        <v>46149</v>
      </c>
      <c r="B218" t="s">
        <v>94</v>
      </c>
      <c r="C218" t="s">
        <v>101</v>
      </c>
      <c r="D218" t="s">
        <v>102</v>
      </c>
      <c r="E218" t="s">
        <v>34</v>
      </c>
      <c r="F218" s="3">
        <v>0.75</v>
      </c>
      <c r="G218" s="4">
        <v>0.25</v>
      </c>
      <c r="H218" s="5" t="s">
        <v>19</v>
      </c>
      <c r="I218" t="s">
        <v>20</v>
      </c>
      <c r="J218" t="s">
        <v>24</v>
      </c>
      <c r="K218" t="s">
        <v>22</v>
      </c>
      <c r="L218" t="s">
        <v>23</v>
      </c>
      <c r="M218" t="s">
        <v>24</v>
      </c>
      <c r="N218">
        <f>IF(Table1[[#This Row],[Akhir]]&lt;Table1[[#This Row],[Awal]],(Table1[[#This Row],[Akhir]]+1)-Table1[[#This Row],[Awal]],Table1[[#This Row],[Akhir]]-Table1[[#This Row],[Awal]])*24</f>
        <v>12</v>
      </c>
      <c r="O218" t="str">
        <f>IF(Table1[[#This Row],[Duration Real]]&gt;=6,"Major",
IF(Table1[[#This Row],[Duration Real]]&gt;=2,"Medium","Minor"))</f>
        <v>Major</v>
      </c>
    </row>
    <row r="219" spans="1:15" x14ac:dyDescent="0.35">
      <c r="A219" s="2">
        <v>46150</v>
      </c>
      <c r="B219" t="s">
        <v>15</v>
      </c>
      <c r="C219" t="s">
        <v>16</v>
      </c>
      <c r="D219" t="s">
        <v>353</v>
      </c>
      <c r="E219" t="s">
        <v>354</v>
      </c>
      <c r="F219" s="3">
        <v>0.25</v>
      </c>
      <c r="G219" s="4">
        <v>0.34861111111111109</v>
      </c>
      <c r="H219" s="5" t="s">
        <v>19</v>
      </c>
      <c r="I219" t="s">
        <v>26</v>
      </c>
      <c r="J219" t="s">
        <v>355</v>
      </c>
      <c r="K219" t="s">
        <v>22</v>
      </c>
      <c r="L219" t="s">
        <v>356</v>
      </c>
      <c r="M219" t="s">
        <v>24</v>
      </c>
      <c r="N219">
        <f>IF(Table1[[#This Row],[Akhir]]&lt;Table1[[#This Row],[Awal]],(Table1[[#This Row],[Akhir]]+1)-Table1[[#This Row],[Awal]],Table1[[#This Row],[Akhir]]-Table1[[#This Row],[Awal]])*24</f>
        <v>2.3666666666666663</v>
      </c>
      <c r="O219" t="str">
        <f>IF(Table1[[#This Row],[Duration Real]]&gt;=6,"Major",
IF(Table1[[#This Row],[Duration Real]]&gt;=2,"Medium","Minor"))</f>
        <v>Medium</v>
      </c>
    </row>
    <row r="220" spans="1:15" x14ac:dyDescent="0.35">
      <c r="A220" s="2">
        <v>46150</v>
      </c>
      <c r="B220" t="s">
        <v>15</v>
      </c>
      <c r="C220" t="s">
        <v>16</v>
      </c>
      <c r="D220" t="s">
        <v>357</v>
      </c>
      <c r="E220" t="s">
        <v>34</v>
      </c>
      <c r="F220" s="3">
        <v>0.75</v>
      </c>
      <c r="G220" s="4">
        <v>0.25</v>
      </c>
      <c r="H220" s="5" t="s">
        <v>358</v>
      </c>
      <c r="I220" t="s">
        <v>20</v>
      </c>
      <c r="J220" t="s">
        <v>24</v>
      </c>
      <c r="K220" t="s">
        <v>22</v>
      </c>
      <c r="L220" t="s">
        <v>23</v>
      </c>
      <c r="M220" t="s">
        <v>24</v>
      </c>
      <c r="N220">
        <f>IF(Table1[[#This Row],[Akhir]]&lt;Table1[[#This Row],[Awal]],(Table1[[#This Row],[Akhir]]+1)-Table1[[#This Row],[Awal]],Table1[[#This Row],[Akhir]]-Table1[[#This Row],[Awal]])*24</f>
        <v>12</v>
      </c>
      <c r="O220" t="str">
        <f>IF(Table1[[#This Row],[Duration Real]]&gt;=6,"Major",
IF(Table1[[#This Row],[Duration Real]]&gt;=2,"Medium","Minor"))</f>
        <v>Major</v>
      </c>
    </row>
    <row r="221" spans="1:15" x14ac:dyDescent="0.35">
      <c r="A221" s="2">
        <v>46150</v>
      </c>
      <c r="B221" t="s">
        <v>15</v>
      </c>
      <c r="C221" t="s">
        <v>16</v>
      </c>
      <c r="D221" t="s">
        <v>357</v>
      </c>
      <c r="E221" t="s">
        <v>359</v>
      </c>
      <c r="F221" s="3">
        <v>0.36736111111111114</v>
      </c>
      <c r="G221" s="4">
        <v>0.75</v>
      </c>
      <c r="H221" s="5" t="s">
        <v>358</v>
      </c>
      <c r="I221" t="s">
        <v>26</v>
      </c>
      <c r="J221" t="s">
        <v>24</v>
      </c>
      <c r="K221" t="s">
        <v>22</v>
      </c>
      <c r="L221" t="s">
        <v>23</v>
      </c>
      <c r="M221" t="s">
        <v>24</v>
      </c>
      <c r="N221">
        <f>IF(Table1[[#This Row],[Akhir]]&lt;Table1[[#This Row],[Awal]],(Table1[[#This Row],[Akhir]]+1)-Table1[[#This Row],[Awal]],Table1[[#This Row],[Akhir]]-Table1[[#This Row],[Awal]])*24</f>
        <v>9.1833333333333336</v>
      </c>
      <c r="O221" t="str">
        <f>IF(Table1[[#This Row],[Duration Real]]&gt;=6,"Major",
IF(Table1[[#This Row],[Duration Real]]&gt;=2,"Medium","Minor"))</f>
        <v>Major</v>
      </c>
    </row>
    <row r="222" spans="1:15" x14ac:dyDescent="0.35">
      <c r="A222" s="2">
        <v>46150</v>
      </c>
      <c r="B222" t="s">
        <v>15</v>
      </c>
      <c r="C222" t="s">
        <v>32</v>
      </c>
      <c r="D222" t="s">
        <v>314</v>
      </c>
      <c r="E222" t="s">
        <v>34</v>
      </c>
      <c r="F222" s="3">
        <v>0.25</v>
      </c>
      <c r="G222" s="4">
        <v>0.75</v>
      </c>
      <c r="H222" s="5" t="s">
        <v>19</v>
      </c>
      <c r="I222" t="s">
        <v>26</v>
      </c>
      <c r="J222" t="s">
        <v>24</v>
      </c>
      <c r="K222" t="s">
        <v>22</v>
      </c>
      <c r="L222" t="s">
        <v>43</v>
      </c>
      <c r="M222" t="s">
        <v>24</v>
      </c>
      <c r="N222">
        <f>IF(Table1[[#This Row],[Akhir]]&lt;Table1[[#This Row],[Awal]],(Table1[[#This Row],[Akhir]]+1)-Table1[[#This Row],[Awal]],Table1[[#This Row],[Akhir]]-Table1[[#This Row],[Awal]])*24</f>
        <v>12</v>
      </c>
      <c r="O222" t="str">
        <f>IF(Table1[[#This Row],[Duration Real]]&gt;=6,"Major",
IF(Table1[[#This Row],[Duration Real]]&gt;=2,"Medium","Minor"))</f>
        <v>Major</v>
      </c>
    </row>
    <row r="223" spans="1:15" x14ac:dyDescent="0.35">
      <c r="A223" s="2">
        <v>46150</v>
      </c>
      <c r="B223" t="s">
        <v>15</v>
      </c>
      <c r="C223" t="s">
        <v>32</v>
      </c>
      <c r="D223" t="s">
        <v>314</v>
      </c>
      <c r="E223" t="s">
        <v>34</v>
      </c>
      <c r="F223" s="3">
        <v>0.75</v>
      </c>
      <c r="G223" s="4">
        <v>0.25</v>
      </c>
      <c r="H223" s="5" t="s">
        <v>19</v>
      </c>
      <c r="I223" t="s">
        <v>20</v>
      </c>
      <c r="J223" t="s">
        <v>24</v>
      </c>
      <c r="K223" t="s">
        <v>22</v>
      </c>
      <c r="L223" t="s">
        <v>43</v>
      </c>
      <c r="M223" t="s">
        <v>24</v>
      </c>
      <c r="N223">
        <f>IF(Table1[[#This Row],[Akhir]]&lt;Table1[[#This Row],[Awal]],(Table1[[#This Row],[Akhir]]+1)-Table1[[#This Row],[Awal]],Table1[[#This Row],[Akhir]]-Table1[[#This Row],[Awal]])*24</f>
        <v>12</v>
      </c>
      <c r="O223" t="str">
        <f>IF(Table1[[#This Row],[Duration Real]]&gt;=6,"Major",
IF(Table1[[#This Row],[Duration Real]]&gt;=2,"Medium","Minor"))</f>
        <v>Major</v>
      </c>
    </row>
    <row r="224" spans="1:15" x14ac:dyDescent="0.35">
      <c r="A224" s="2">
        <v>46150</v>
      </c>
      <c r="B224" t="s">
        <v>15</v>
      </c>
      <c r="C224" t="s">
        <v>36</v>
      </c>
      <c r="D224" t="s">
        <v>360</v>
      </c>
      <c r="E224" t="s">
        <v>284</v>
      </c>
      <c r="F224" s="3">
        <v>0.22152777777777777</v>
      </c>
      <c r="G224" s="4">
        <v>0.25</v>
      </c>
      <c r="H224" s="5" t="s">
        <v>19</v>
      </c>
      <c r="I224" t="s">
        <v>20</v>
      </c>
      <c r="J224" t="s">
        <v>24</v>
      </c>
      <c r="K224" t="s">
        <v>46</v>
      </c>
      <c r="L224" t="s">
        <v>73</v>
      </c>
      <c r="M224" t="s">
        <v>24</v>
      </c>
      <c r="N224">
        <f>IF(Table1[[#This Row],[Akhir]]&lt;Table1[[#This Row],[Awal]],(Table1[[#This Row],[Akhir]]+1)-Table1[[#This Row],[Awal]],Table1[[#This Row],[Akhir]]-Table1[[#This Row],[Awal]])*24</f>
        <v>0.68333333333333357</v>
      </c>
      <c r="O224" t="str">
        <f>IF(Table1[[#This Row],[Duration Real]]&gt;=6,"Major",
IF(Table1[[#This Row],[Duration Real]]&gt;=2,"Medium","Minor"))</f>
        <v>Minor</v>
      </c>
    </row>
    <row r="225" spans="1:15" x14ac:dyDescent="0.35">
      <c r="A225" s="2">
        <v>46150</v>
      </c>
      <c r="B225" t="s">
        <v>15</v>
      </c>
      <c r="C225" t="s">
        <v>36</v>
      </c>
      <c r="D225" t="s">
        <v>361</v>
      </c>
      <c r="E225" t="s">
        <v>169</v>
      </c>
      <c r="F225" s="3">
        <v>0.13541666666666666</v>
      </c>
      <c r="G225" s="4">
        <v>0.17222222222222222</v>
      </c>
      <c r="H225" s="5" t="s">
        <v>19</v>
      </c>
      <c r="I225" t="s">
        <v>20</v>
      </c>
      <c r="J225" t="s">
        <v>24</v>
      </c>
      <c r="K225" t="s">
        <v>22</v>
      </c>
      <c r="L225" t="s">
        <v>362</v>
      </c>
      <c r="M225" t="s">
        <v>24</v>
      </c>
      <c r="N225">
        <f>IF(Table1[[#This Row],[Akhir]]&lt;Table1[[#This Row],[Awal]],(Table1[[#This Row],[Akhir]]+1)-Table1[[#This Row],[Awal]],Table1[[#This Row],[Akhir]]-Table1[[#This Row],[Awal]])*24</f>
        <v>0.88333333333333353</v>
      </c>
      <c r="O225" t="str">
        <f>IF(Table1[[#This Row],[Duration Real]]&gt;=6,"Major",
IF(Table1[[#This Row],[Duration Real]]&gt;=2,"Medium","Minor"))</f>
        <v>Minor</v>
      </c>
    </row>
    <row r="226" spans="1:15" x14ac:dyDescent="0.35">
      <c r="A226" s="2">
        <v>46150</v>
      </c>
      <c r="B226" t="s">
        <v>15</v>
      </c>
      <c r="C226" t="s">
        <v>41</v>
      </c>
      <c r="D226" t="s">
        <v>42</v>
      </c>
      <c r="E226" t="s">
        <v>34</v>
      </c>
      <c r="F226" s="3">
        <v>0.25</v>
      </c>
      <c r="G226" s="4">
        <v>0.75</v>
      </c>
      <c r="H226" s="5" t="s">
        <v>19</v>
      </c>
      <c r="I226" t="s">
        <v>26</v>
      </c>
      <c r="J226" t="s">
        <v>24</v>
      </c>
      <c r="K226" t="s">
        <v>39</v>
      </c>
      <c r="L226" t="s">
        <v>43</v>
      </c>
      <c r="M226" t="s">
        <v>24</v>
      </c>
      <c r="N226">
        <f>IF(Table1[[#This Row],[Akhir]]&lt;Table1[[#This Row],[Awal]],(Table1[[#This Row],[Akhir]]+1)-Table1[[#This Row],[Awal]],Table1[[#This Row],[Akhir]]-Table1[[#This Row],[Awal]])*24</f>
        <v>12</v>
      </c>
      <c r="O226" t="str">
        <f>IF(Table1[[#This Row],[Duration Real]]&gt;=6,"Major",
IF(Table1[[#This Row],[Duration Real]]&gt;=2,"Medium","Minor"))</f>
        <v>Major</v>
      </c>
    </row>
    <row r="227" spans="1:15" x14ac:dyDescent="0.35">
      <c r="A227" s="2">
        <v>46150</v>
      </c>
      <c r="B227" t="s">
        <v>15</v>
      </c>
      <c r="C227" t="s">
        <v>41</v>
      </c>
      <c r="D227" t="s">
        <v>42</v>
      </c>
      <c r="E227" t="s">
        <v>34</v>
      </c>
      <c r="F227" s="3">
        <v>0.75</v>
      </c>
      <c r="G227" s="4">
        <v>0.25</v>
      </c>
      <c r="H227" s="5" t="s">
        <v>19</v>
      </c>
      <c r="I227" t="s">
        <v>20</v>
      </c>
      <c r="J227" t="s">
        <v>24</v>
      </c>
      <c r="K227" t="s">
        <v>39</v>
      </c>
      <c r="L227" t="s">
        <v>43</v>
      </c>
      <c r="M227" t="s">
        <v>24</v>
      </c>
      <c r="N227">
        <f>IF(Table1[[#This Row],[Akhir]]&lt;Table1[[#This Row],[Awal]],(Table1[[#This Row],[Akhir]]+1)-Table1[[#This Row],[Awal]],Table1[[#This Row],[Akhir]]-Table1[[#This Row],[Awal]])*24</f>
        <v>12</v>
      </c>
      <c r="O227" t="str">
        <f>IF(Table1[[#This Row],[Duration Real]]&gt;=6,"Major",
IF(Table1[[#This Row],[Duration Real]]&gt;=2,"Medium","Minor"))</f>
        <v>Major</v>
      </c>
    </row>
    <row r="228" spans="1:15" x14ac:dyDescent="0.35">
      <c r="A228" s="2">
        <v>46150</v>
      </c>
      <c r="B228" t="s">
        <v>15</v>
      </c>
      <c r="C228" t="s">
        <v>44</v>
      </c>
      <c r="D228" t="s">
        <v>45</v>
      </c>
      <c r="E228" t="s">
        <v>34</v>
      </c>
      <c r="F228" s="3">
        <v>0.25</v>
      </c>
      <c r="G228" s="4">
        <v>0.75</v>
      </c>
      <c r="H228" s="5" t="s">
        <v>19</v>
      </c>
      <c r="I228" t="s">
        <v>26</v>
      </c>
      <c r="J228" t="s">
        <v>24</v>
      </c>
      <c r="K228" t="s">
        <v>46</v>
      </c>
      <c r="L228" t="s">
        <v>47</v>
      </c>
      <c r="M228" t="s">
        <v>24</v>
      </c>
      <c r="N228">
        <f>IF(Table1[[#This Row],[Akhir]]&lt;Table1[[#This Row],[Awal]],(Table1[[#This Row],[Akhir]]+1)-Table1[[#This Row],[Awal]],Table1[[#This Row],[Akhir]]-Table1[[#This Row],[Awal]])*24</f>
        <v>12</v>
      </c>
      <c r="O228" t="str">
        <f>IF(Table1[[#This Row],[Duration Real]]&gt;=6,"Major",
IF(Table1[[#This Row],[Duration Real]]&gt;=2,"Medium","Minor"))</f>
        <v>Major</v>
      </c>
    </row>
    <row r="229" spans="1:15" x14ac:dyDescent="0.35">
      <c r="A229" s="2">
        <v>46150</v>
      </c>
      <c r="B229" t="s">
        <v>15</v>
      </c>
      <c r="C229" t="s">
        <v>44</v>
      </c>
      <c r="D229" t="s">
        <v>45</v>
      </c>
      <c r="E229" t="s">
        <v>34</v>
      </c>
      <c r="F229" s="3">
        <v>0.75</v>
      </c>
      <c r="G229" s="4">
        <v>0.25</v>
      </c>
      <c r="H229" s="5" t="s">
        <v>19</v>
      </c>
      <c r="I229" t="s">
        <v>20</v>
      </c>
      <c r="J229" t="s">
        <v>24</v>
      </c>
      <c r="K229" t="s">
        <v>46</v>
      </c>
      <c r="L229" t="s">
        <v>47</v>
      </c>
      <c r="M229" t="s">
        <v>24</v>
      </c>
      <c r="N229">
        <f>IF(Table1[[#This Row],[Akhir]]&lt;Table1[[#This Row],[Awal]],(Table1[[#This Row],[Akhir]]+1)-Table1[[#This Row],[Awal]],Table1[[#This Row],[Akhir]]-Table1[[#This Row],[Awal]])*24</f>
        <v>12</v>
      </c>
      <c r="O229" t="str">
        <f>IF(Table1[[#This Row],[Duration Real]]&gt;=6,"Major",
IF(Table1[[#This Row],[Duration Real]]&gt;=2,"Medium","Minor"))</f>
        <v>Major</v>
      </c>
    </row>
    <row r="230" spans="1:15" x14ac:dyDescent="0.35">
      <c r="A230" s="2">
        <v>46150</v>
      </c>
      <c r="B230" t="s">
        <v>15</v>
      </c>
      <c r="C230" t="s">
        <v>52</v>
      </c>
      <c r="D230" t="s">
        <v>320</v>
      </c>
      <c r="E230" t="s">
        <v>109</v>
      </c>
      <c r="F230" s="3">
        <v>0.75</v>
      </c>
      <c r="G230" s="4">
        <v>0.78541666666666665</v>
      </c>
      <c r="H230" s="5" t="s">
        <v>19</v>
      </c>
      <c r="I230" t="s">
        <v>20</v>
      </c>
      <c r="J230" t="s">
        <v>24</v>
      </c>
      <c r="K230" t="s">
        <v>22</v>
      </c>
      <c r="L230" t="s">
        <v>322</v>
      </c>
      <c r="M230" t="s">
        <v>24</v>
      </c>
      <c r="N230">
        <f>IF(Table1[[#This Row],[Akhir]]&lt;Table1[[#This Row],[Awal]],(Table1[[#This Row],[Akhir]]+1)-Table1[[#This Row],[Awal]],Table1[[#This Row],[Akhir]]-Table1[[#This Row],[Awal]])*24</f>
        <v>0.84999999999999964</v>
      </c>
      <c r="O230" t="str">
        <f>IF(Table1[[#This Row],[Duration Real]]&gt;=6,"Major",
IF(Table1[[#This Row],[Duration Real]]&gt;=2,"Medium","Minor"))</f>
        <v>Minor</v>
      </c>
    </row>
    <row r="231" spans="1:15" x14ac:dyDescent="0.35">
      <c r="A231" s="2">
        <v>46150</v>
      </c>
      <c r="B231" t="s">
        <v>15</v>
      </c>
      <c r="C231" t="s">
        <v>52</v>
      </c>
      <c r="D231" t="s">
        <v>320</v>
      </c>
      <c r="E231" t="s">
        <v>34</v>
      </c>
      <c r="F231" s="3">
        <v>0.25</v>
      </c>
      <c r="G231" s="4">
        <v>0.75</v>
      </c>
      <c r="H231" s="5" t="s">
        <v>19</v>
      </c>
      <c r="I231" t="s">
        <v>26</v>
      </c>
      <c r="J231" t="s">
        <v>24</v>
      </c>
      <c r="K231" t="s">
        <v>22</v>
      </c>
      <c r="L231" t="s">
        <v>322</v>
      </c>
      <c r="M231" t="s">
        <v>24</v>
      </c>
      <c r="N231">
        <f>IF(Table1[[#This Row],[Akhir]]&lt;Table1[[#This Row],[Awal]],(Table1[[#This Row],[Akhir]]+1)-Table1[[#This Row],[Awal]],Table1[[#This Row],[Akhir]]-Table1[[#This Row],[Awal]])*24</f>
        <v>12</v>
      </c>
      <c r="O231" t="str">
        <f>IF(Table1[[#This Row],[Duration Real]]&gt;=6,"Major",
IF(Table1[[#This Row],[Duration Real]]&gt;=2,"Medium","Minor"))</f>
        <v>Major</v>
      </c>
    </row>
    <row r="232" spans="1:15" x14ac:dyDescent="0.35">
      <c r="A232" s="2">
        <v>46150</v>
      </c>
      <c r="B232" t="s">
        <v>15</v>
      </c>
      <c r="C232" t="s">
        <v>57</v>
      </c>
      <c r="D232" t="s">
        <v>61</v>
      </c>
      <c r="E232" t="s">
        <v>245</v>
      </c>
      <c r="F232" s="3">
        <v>0.70486111111111116</v>
      </c>
      <c r="G232" s="4">
        <v>0.75</v>
      </c>
      <c r="H232" s="5" t="s">
        <v>19</v>
      </c>
      <c r="I232" t="s">
        <v>26</v>
      </c>
      <c r="J232" t="s">
        <v>24</v>
      </c>
      <c r="K232" t="s">
        <v>22</v>
      </c>
      <c r="L232" t="s">
        <v>328</v>
      </c>
      <c r="M232" t="s">
        <v>24</v>
      </c>
      <c r="N232">
        <f>IF(Table1[[#This Row],[Akhir]]&lt;Table1[[#This Row],[Awal]],(Table1[[#This Row],[Akhir]]+1)-Table1[[#This Row],[Awal]],Table1[[#This Row],[Akhir]]-Table1[[#This Row],[Awal]])*24</f>
        <v>1.0833333333333321</v>
      </c>
      <c r="O232" t="str">
        <f>IF(Table1[[#This Row],[Duration Real]]&gt;=6,"Major",
IF(Table1[[#This Row],[Duration Real]]&gt;=2,"Medium","Minor"))</f>
        <v>Minor</v>
      </c>
    </row>
    <row r="233" spans="1:15" x14ac:dyDescent="0.35">
      <c r="A233" s="2">
        <v>46150</v>
      </c>
      <c r="B233" t="s">
        <v>15</v>
      </c>
      <c r="C233" t="s">
        <v>57</v>
      </c>
      <c r="D233" t="s">
        <v>61</v>
      </c>
      <c r="E233" t="s">
        <v>115</v>
      </c>
      <c r="F233" s="3">
        <v>0.75</v>
      </c>
      <c r="G233" s="4">
        <v>0.81180555555555556</v>
      </c>
      <c r="H233" s="5" t="s">
        <v>19</v>
      </c>
      <c r="I233" t="s">
        <v>20</v>
      </c>
      <c r="J233" t="s">
        <v>363</v>
      </c>
      <c r="K233" t="s">
        <v>22</v>
      </c>
      <c r="L233" t="s">
        <v>328</v>
      </c>
      <c r="M233" t="s">
        <v>24</v>
      </c>
      <c r="N233">
        <f>IF(Table1[[#This Row],[Akhir]]&lt;Table1[[#This Row],[Awal]],(Table1[[#This Row],[Akhir]]+1)-Table1[[#This Row],[Awal]],Table1[[#This Row],[Akhir]]-Table1[[#This Row],[Awal]])*24</f>
        <v>1.4833333333333334</v>
      </c>
      <c r="O233" t="str">
        <f>IF(Table1[[#This Row],[Duration Real]]&gt;=6,"Major",
IF(Table1[[#This Row],[Duration Real]]&gt;=2,"Medium","Minor"))</f>
        <v>Minor</v>
      </c>
    </row>
    <row r="234" spans="1:15" x14ac:dyDescent="0.35">
      <c r="A234" s="2">
        <v>46150</v>
      </c>
      <c r="B234" t="s">
        <v>15</v>
      </c>
      <c r="C234" t="s">
        <v>230</v>
      </c>
      <c r="D234" t="s">
        <v>364</v>
      </c>
      <c r="E234" t="s">
        <v>365</v>
      </c>
      <c r="F234" s="3">
        <v>0.65486111111111112</v>
      </c>
      <c r="G234" s="4">
        <v>0.75</v>
      </c>
      <c r="H234" s="5" t="s">
        <v>19</v>
      </c>
      <c r="I234" t="s">
        <v>26</v>
      </c>
      <c r="J234" t="s">
        <v>24</v>
      </c>
      <c r="K234" t="s">
        <v>39</v>
      </c>
      <c r="L234" t="s">
        <v>143</v>
      </c>
      <c r="M234" t="s">
        <v>24</v>
      </c>
      <c r="N234">
        <f>IF(Table1[[#This Row],[Akhir]]&lt;Table1[[#This Row],[Awal]],(Table1[[#This Row],[Akhir]]+1)-Table1[[#This Row],[Awal]],Table1[[#This Row],[Akhir]]-Table1[[#This Row],[Awal]])*24</f>
        <v>2.2833333333333332</v>
      </c>
      <c r="O234" t="str">
        <f>IF(Table1[[#This Row],[Duration Real]]&gt;=6,"Major",
IF(Table1[[#This Row],[Duration Real]]&gt;=2,"Medium","Minor"))</f>
        <v>Medium</v>
      </c>
    </row>
    <row r="235" spans="1:15" x14ac:dyDescent="0.35">
      <c r="A235" s="2">
        <v>46150</v>
      </c>
      <c r="B235" t="s">
        <v>15</v>
      </c>
      <c r="C235" t="s">
        <v>230</v>
      </c>
      <c r="D235" t="s">
        <v>364</v>
      </c>
      <c r="E235" t="s">
        <v>152</v>
      </c>
      <c r="F235" s="3">
        <v>0.75</v>
      </c>
      <c r="G235" s="4">
        <v>0.85416666666666663</v>
      </c>
      <c r="H235" s="5" t="s">
        <v>19</v>
      </c>
      <c r="I235" t="s">
        <v>20</v>
      </c>
      <c r="J235" t="s">
        <v>24</v>
      </c>
      <c r="K235" t="s">
        <v>39</v>
      </c>
      <c r="L235" t="s">
        <v>143</v>
      </c>
      <c r="M235" t="s">
        <v>24</v>
      </c>
      <c r="N235">
        <f>IF(Table1[[#This Row],[Akhir]]&lt;Table1[[#This Row],[Awal]],(Table1[[#This Row],[Akhir]]+1)-Table1[[#This Row],[Awal]],Table1[[#This Row],[Akhir]]-Table1[[#This Row],[Awal]])*24</f>
        <v>2.4999999999999991</v>
      </c>
      <c r="O235" t="str">
        <f>IF(Table1[[#This Row],[Duration Real]]&gt;=6,"Major",
IF(Table1[[#This Row],[Duration Real]]&gt;=2,"Medium","Minor"))</f>
        <v>Medium</v>
      </c>
    </row>
    <row r="236" spans="1:15" x14ac:dyDescent="0.35">
      <c r="A236" s="2">
        <v>46150</v>
      </c>
      <c r="B236" t="s">
        <v>15</v>
      </c>
      <c r="C236" t="s">
        <v>230</v>
      </c>
      <c r="D236" t="s">
        <v>163</v>
      </c>
      <c r="E236" t="s">
        <v>281</v>
      </c>
      <c r="F236" s="3">
        <v>0.37430555555555556</v>
      </c>
      <c r="G236" s="4">
        <v>0.4375</v>
      </c>
      <c r="H236" s="5" t="s">
        <v>19</v>
      </c>
      <c r="I236" t="s">
        <v>26</v>
      </c>
      <c r="J236" t="s">
        <v>24</v>
      </c>
      <c r="K236" t="s">
        <v>39</v>
      </c>
      <c r="L236" t="s">
        <v>366</v>
      </c>
      <c r="M236" t="s">
        <v>24</v>
      </c>
      <c r="N236">
        <f>IF(Table1[[#This Row],[Akhir]]&lt;Table1[[#This Row],[Awal]],(Table1[[#This Row],[Akhir]]+1)-Table1[[#This Row],[Awal]],Table1[[#This Row],[Akhir]]-Table1[[#This Row],[Awal]])*24</f>
        <v>1.5166666666666666</v>
      </c>
      <c r="O236" t="str">
        <f>IF(Table1[[#This Row],[Duration Real]]&gt;=6,"Major",
IF(Table1[[#This Row],[Duration Real]]&gt;=2,"Medium","Minor"))</f>
        <v>Minor</v>
      </c>
    </row>
    <row r="237" spans="1:15" x14ac:dyDescent="0.35">
      <c r="A237" s="2">
        <v>46150</v>
      </c>
      <c r="B237" t="s">
        <v>15</v>
      </c>
      <c r="C237" t="s">
        <v>64</v>
      </c>
      <c r="D237" t="s">
        <v>61</v>
      </c>
      <c r="E237" t="s">
        <v>367</v>
      </c>
      <c r="F237" s="3">
        <v>0.75</v>
      </c>
      <c r="G237" s="4">
        <v>0.19583333333333333</v>
      </c>
      <c r="H237" s="5" t="s">
        <v>19</v>
      </c>
      <c r="I237" t="s">
        <v>20</v>
      </c>
      <c r="J237" t="s">
        <v>24</v>
      </c>
      <c r="K237" t="s">
        <v>22</v>
      </c>
      <c r="L237" t="s">
        <v>328</v>
      </c>
      <c r="M237" t="s">
        <v>24</v>
      </c>
      <c r="N237">
        <f>IF(Table1[[#This Row],[Akhir]]&lt;Table1[[#This Row],[Awal]],(Table1[[#This Row],[Akhir]]+1)-Table1[[#This Row],[Awal]],Table1[[#This Row],[Akhir]]-Table1[[#This Row],[Awal]])*24</f>
        <v>10.7</v>
      </c>
      <c r="O237" t="str">
        <f>IF(Table1[[#This Row],[Duration Real]]&gt;=6,"Major",
IF(Table1[[#This Row],[Duration Real]]&gt;=2,"Medium","Minor"))</f>
        <v>Major</v>
      </c>
    </row>
    <row r="238" spans="1:15" x14ac:dyDescent="0.35">
      <c r="A238" s="2">
        <v>46150</v>
      </c>
      <c r="B238" t="s">
        <v>15</v>
      </c>
      <c r="C238" t="s">
        <v>64</v>
      </c>
      <c r="D238" t="s">
        <v>61</v>
      </c>
      <c r="E238" t="s">
        <v>368</v>
      </c>
      <c r="F238" s="3">
        <v>0.65555555555555556</v>
      </c>
      <c r="G238" s="4">
        <v>0.75</v>
      </c>
      <c r="H238" s="5" t="s">
        <v>19</v>
      </c>
      <c r="I238" t="s">
        <v>26</v>
      </c>
      <c r="J238" t="s">
        <v>24</v>
      </c>
      <c r="K238" t="s">
        <v>22</v>
      </c>
      <c r="L238" t="s">
        <v>328</v>
      </c>
      <c r="M238" t="s">
        <v>24</v>
      </c>
      <c r="N238">
        <f>IF(Table1[[#This Row],[Akhir]]&lt;Table1[[#This Row],[Awal]],(Table1[[#This Row],[Akhir]]+1)-Table1[[#This Row],[Awal]],Table1[[#This Row],[Akhir]]-Table1[[#This Row],[Awal]])*24</f>
        <v>2.2666666666666666</v>
      </c>
      <c r="O238" t="str">
        <f>IF(Table1[[#This Row],[Duration Real]]&gt;=6,"Major",
IF(Table1[[#This Row],[Duration Real]]&gt;=2,"Medium","Minor"))</f>
        <v>Medium</v>
      </c>
    </row>
    <row r="239" spans="1:15" x14ac:dyDescent="0.35">
      <c r="A239" s="2">
        <v>46150</v>
      </c>
      <c r="B239" t="s">
        <v>15</v>
      </c>
      <c r="C239" t="s">
        <v>64</v>
      </c>
      <c r="D239" t="s">
        <v>332</v>
      </c>
      <c r="E239" t="s">
        <v>307</v>
      </c>
      <c r="F239" s="3">
        <v>0.25</v>
      </c>
      <c r="G239" s="4">
        <v>0.33333333333333331</v>
      </c>
      <c r="H239" s="5" t="s">
        <v>19</v>
      </c>
      <c r="I239" t="s">
        <v>26</v>
      </c>
      <c r="J239" t="s">
        <v>24</v>
      </c>
      <c r="K239" t="s">
        <v>22</v>
      </c>
      <c r="L239" t="s">
        <v>43</v>
      </c>
      <c r="M239" t="s">
        <v>24</v>
      </c>
      <c r="N239">
        <f>IF(Table1[[#This Row],[Akhir]]&lt;Table1[[#This Row],[Awal]],(Table1[[#This Row],[Akhir]]+1)-Table1[[#This Row],[Awal]],Table1[[#This Row],[Akhir]]-Table1[[#This Row],[Awal]])*24</f>
        <v>1.9999999999999996</v>
      </c>
      <c r="O239" t="str">
        <f>IF(Table1[[#This Row],[Duration Real]]&gt;=6,"Major",
IF(Table1[[#This Row],[Duration Real]]&gt;=2,"Medium","Minor"))</f>
        <v>Medium</v>
      </c>
    </row>
    <row r="240" spans="1:15" x14ac:dyDescent="0.35">
      <c r="A240" s="2">
        <v>46150</v>
      </c>
      <c r="B240" t="s">
        <v>15</v>
      </c>
      <c r="C240" t="s">
        <v>76</v>
      </c>
      <c r="D240" t="s">
        <v>301</v>
      </c>
      <c r="E240" t="s">
        <v>369</v>
      </c>
      <c r="F240" s="3">
        <v>0.25</v>
      </c>
      <c r="G240" s="4">
        <v>0.29930555555555555</v>
      </c>
      <c r="H240" s="5" t="s">
        <v>19</v>
      </c>
      <c r="I240" t="s">
        <v>26</v>
      </c>
      <c r="J240" t="s">
        <v>370</v>
      </c>
      <c r="K240" t="s">
        <v>83</v>
      </c>
      <c r="L240" t="s">
        <v>84</v>
      </c>
      <c r="M240" t="s">
        <v>24</v>
      </c>
      <c r="N240">
        <f>IF(Table1[[#This Row],[Akhir]]&lt;Table1[[#This Row],[Awal]],(Table1[[#This Row],[Akhir]]+1)-Table1[[#This Row],[Awal]],Table1[[#This Row],[Akhir]]-Table1[[#This Row],[Awal]])*24</f>
        <v>1.1833333333333331</v>
      </c>
      <c r="O240" t="str">
        <f>IF(Table1[[#This Row],[Duration Real]]&gt;=6,"Major",
IF(Table1[[#This Row],[Duration Real]]&gt;=2,"Medium","Minor"))</f>
        <v>Minor</v>
      </c>
    </row>
    <row r="241" spans="1:15" x14ac:dyDescent="0.35">
      <c r="A241" s="2">
        <v>46150</v>
      </c>
      <c r="B241" t="s">
        <v>15</v>
      </c>
      <c r="C241" t="s">
        <v>85</v>
      </c>
      <c r="D241" t="s">
        <v>86</v>
      </c>
      <c r="E241" t="s">
        <v>34</v>
      </c>
      <c r="F241" s="3">
        <v>0.25</v>
      </c>
      <c r="G241" s="4">
        <v>0.75</v>
      </c>
      <c r="H241" s="5" t="s">
        <v>19</v>
      </c>
      <c r="I241" t="s">
        <v>26</v>
      </c>
      <c r="J241" t="s">
        <v>24</v>
      </c>
      <c r="K241" t="s">
        <v>22</v>
      </c>
      <c r="L241" t="s">
        <v>87</v>
      </c>
      <c r="M241" t="s">
        <v>24</v>
      </c>
      <c r="N241">
        <f>IF(Table1[[#This Row],[Akhir]]&lt;Table1[[#This Row],[Awal]],(Table1[[#This Row],[Akhir]]+1)-Table1[[#This Row],[Awal]],Table1[[#This Row],[Akhir]]-Table1[[#This Row],[Awal]])*24</f>
        <v>12</v>
      </c>
      <c r="O241" t="str">
        <f>IF(Table1[[#This Row],[Duration Real]]&gt;=6,"Major",
IF(Table1[[#This Row],[Duration Real]]&gt;=2,"Medium","Minor"))</f>
        <v>Major</v>
      </c>
    </row>
    <row r="242" spans="1:15" x14ac:dyDescent="0.35">
      <c r="A242" s="2">
        <v>46150</v>
      </c>
      <c r="B242" t="s">
        <v>15</v>
      </c>
      <c r="C242" t="s">
        <v>85</v>
      </c>
      <c r="D242" t="s">
        <v>86</v>
      </c>
      <c r="E242" t="s">
        <v>34</v>
      </c>
      <c r="F242" s="3">
        <v>0.75</v>
      </c>
      <c r="G242" s="4">
        <v>0.25</v>
      </c>
      <c r="H242" s="5" t="s">
        <v>19</v>
      </c>
      <c r="I242" t="s">
        <v>20</v>
      </c>
      <c r="J242" t="s">
        <v>24</v>
      </c>
      <c r="K242" t="s">
        <v>22</v>
      </c>
      <c r="L242" t="s">
        <v>87</v>
      </c>
      <c r="M242" t="s">
        <v>24</v>
      </c>
      <c r="N242">
        <f>IF(Table1[[#This Row],[Akhir]]&lt;Table1[[#This Row],[Awal]],(Table1[[#This Row],[Akhir]]+1)-Table1[[#This Row],[Awal]],Table1[[#This Row],[Akhir]]-Table1[[#This Row],[Awal]])*24</f>
        <v>12</v>
      </c>
      <c r="O242" t="str">
        <f>IF(Table1[[#This Row],[Duration Real]]&gt;=6,"Major",
IF(Table1[[#This Row],[Duration Real]]&gt;=2,"Medium","Minor"))</f>
        <v>Major</v>
      </c>
    </row>
    <row r="243" spans="1:15" x14ac:dyDescent="0.35">
      <c r="A243" s="2">
        <v>46150</v>
      </c>
      <c r="B243" t="s">
        <v>15</v>
      </c>
      <c r="C243" t="s">
        <v>88</v>
      </c>
      <c r="D243" t="s">
        <v>341</v>
      </c>
      <c r="E243" t="s">
        <v>34</v>
      </c>
      <c r="F243" s="3">
        <v>0.25</v>
      </c>
      <c r="G243" s="4">
        <v>0.75</v>
      </c>
      <c r="H243" s="5" t="s">
        <v>19</v>
      </c>
      <c r="I243" t="s">
        <v>26</v>
      </c>
      <c r="J243" t="s">
        <v>24</v>
      </c>
      <c r="K243" t="s">
        <v>22</v>
      </c>
      <c r="L243" t="s">
        <v>23</v>
      </c>
      <c r="M243" t="s">
        <v>24</v>
      </c>
      <c r="N243">
        <f>IF(Table1[[#This Row],[Akhir]]&lt;Table1[[#This Row],[Awal]],(Table1[[#This Row],[Akhir]]+1)-Table1[[#This Row],[Awal]],Table1[[#This Row],[Akhir]]-Table1[[#This Row],[Awal]])*24</f>
        <v>12</v>
      </c>
      <c r="O243" t="str">
        <f>IF(Table1[[#This Row],[Duration Real]]&gt;=6,"Major",
IF(Table1[[#This Row],[Duration Real]]&gt;=2,"Medium","Minor"))</f>
        <v>Major</v>
      </c>
    </row>
    <row r="244" spans="1:15" x14ac:dyDescent="0.35">
      <c r="A244" s="2">
        <v>46150</v>
      </c>
      <c r="B244" t="s">
        <v>15</v>
      </c>
      <c r="C244" t="s">
        <v>88</v>
      </c>
      <c r="D244" t="s">
        <v>341</v>
      </c>
      <c r="E244" t="s">
        <v>371</v>
      </c>
      <c r="F244" s="3">
        <v>0.75</v>
      </c>
      <c r="G244" s="4">
        <v>0.9375</v>
      </c>
      <c r="H244" s="5" t="s">
        <v>19</v>
      </c>
      <c r="I244" t="s">
        <v>20</v>
      </c>
      <c r="J244" t="s">
        <v>24</v>
      </c>
      <c r="K244" t="s">
        <v>22</v>
      </c>
      <c r="L244" t="s">
        <v>23</v>
      </c>
      <c r="M244" t="s">
        <v>24</v>
      </c>
      <c r="N244">
        <f>IF(Table1[[#This Row],[Akhir]]&lt;Table1[[#This Row],[Awal]],(Table1[[#This Row],[Akhir]]+1)-Table1[[#This Row],[Awal]],Table1[[#This Row],[Akhir]]-Table1[[#This Row],[Awal]])*24</f>
        <v>4.5</v>
      </c>
      <c r="O244" t="str">
        <f>IF(Table1[[#This Row],[Duration Real]]&gt;=6,"Major",
IF(Table1[[#This Row],[Duration Real]]&gt;=2,"Medium","Minor"))</f>
        <v>Medium</v>
      </c>
    </row>
    <row r="245" spans="1:15" x14ac:dyDescent="0.35">
      <c r="A245" s="2">
        <v>46150</v>
      </c>
      <c r="B245" t="s">
        <v>15</v>
      </c>
      <c r="C245" t="s">
        <v>118</v>
      </c>
      <c r="D245" t="s">
        <v>96</v>
      </c>
      <c r="E245" t="s">
        <v>372</v>
      </c>
      <c r="F245" s="3">
        <v>0.82430555555555551</v>
      </c>
      <c r="G245" s="4">
        <v>0.89027777777777772</v>
      </c>
      <c r="H245" s="5" t="s">
        <v>19</v>
      </c>
      <c r="I245" t="s">
        <v>20</v>
      </c>
      <c r="J245" t="s">
        <v>373</v>
      </c>
      <c r="K245" t="s">
        <v>22</v>
      </c>
      <c r="L245" t="s">
        <v>374</v>
      </c>
      <c r="M245" t="s">
        <v>24</v>
      </c>
      <c r="N245">
        <f>IF(Table1[[#This Row],[Akhir]]&lt;Table1[[#This Row],[Awal]],(Table1[[#This Row],[Akhir]]+1)-Table1[[#This Row],[Awal]],Table1[[#This Row],[Akhir]]-Table1[[#This Row],[Awal]])*24</f>
        <v>1.583333333333333</v>
      </c>
      <c r="O245" t="str">
        <f>IF(Table1[[#This Row],[Duration Real]]&gt;=6,"Major",
IF(Table1[[#This Row],[Duration Real]]&gt;=2,"Medium","Minor"))</f>
        <v>Minor</v>
      </c>
    </row>
    <row r="246" spans="1:15" x14ac:dyDescent="0.35">
      <c r="A246" s="2">
        <v>46150</v>
      </c>
      <c r="B246" t="s">
        <v>15</v>
      </c>
      <c r="C246" t="s">
        <v>118</v>
      </c>
      <c r="D246" t="s">
        <v>96</v>
      </c>
      <c r="E246" t="s">
        <v>63</v>
      </c>
      <c r="F246" s="3">
        <v>0.25</v>
      </c>
      <c r="G246" s="4">
        <v>0.3215277777777778</v>
      </c>
      <c r="H246" s="5" t="s">
        <v>19</v>
      </c>
      <c r="I246" t="s">
        <v>26</v>
      </c>
      <c r="J246" t="s">
        <v>344</v>
      </c>
      <c r="K246" t="s">
        <v>22</v>
      </c>
      <c r="L246" t="s">
        <v>345</v>
      </c>
      <c r="M246" t="s">
        <v>24</v>
      </c>
      <c r="N246">
        <f>IF(Table1[[#This Row],[Akhir]]&lt;Table1[[#This Row],[Awal]],(Table1[[#This Row],[Akhir]]+1)-Table1[[#This Row],[Awal]],Table1[[#This Row],[Akhir]]-Table1[[#This Row],[Awal]])*24</f>
        <v>1.7166666666666672</v>
      </c>
      <c r="O246" t="str">
        <f>IF(Table1[[#This Row],[Duration Real]]&gt;=6,"Major",
IF(Table1[[#This Row],[Duration Real]]&gt;=2,"Medium","Minor"))</f>
        <v>Minor</v>
      </c>
    </row>
    <row r="247" spans="1:15" x14ac:dyDescent="0.35">
      <c r="A247" s="2">
        <v>46150</v>
      </c>
      <c r="B247" t="s">
        <v>15</v>
      </c>
      <c r="C247" t="s">
        <v>118</v>
      </c>
      <c r="D247" t="s">
        <v>375</v>
      </c>
      <c r="E247" t="s">
        <v>376</v>
      </c>
      <c r="F247" s="3">
        <v>0.75</v>
      </c>
      <c r="G247" s="4">
        <v>0.80625000000000002</v>
      </c>
      <c r="H247" s="5" t="s">
        <v>19</v>
      </c>
      <c r="I247" t="s">
        <v>20</v>
      </c>
      <c r="J247" t="s">
        <v>377</v>
      </c>
      <c r="K247" t="s">
        <v>22</v>
      </c>
      <c r="L247" t="s">
        <v>374</v>
      </c>
      <c r="M247" t="s">
        <v>24</v>
      </c>
      <c r="N247">
        <f>IF(Table1[[#This Row],[Akhir]]&lt;Table1[[#This Row],[Awal]],(Table1[[#This Row],[Akhir]]+1)-Table1[[#This Row],[Awal]],Table1[[#This Row],[Akhir]]-Table1[[#This Row],[Awal]])*24</f>
        <v>1.3500000000000005</v>
      </c>
      <c r="O247" t="str">
        <f>IF(Table1[[#This Row],[Duration Real]]&gt;=6,"Major",
IF(Table1[[#This Row],[Duration Real]]&gt;=2,"Medium","Minor"))</f>
        <v>Minor</v>
      </c>
    </row>
    <row r="248" spans="1:15" x14ac:dyDescent="0.35">
      <c r="A248" s="2">
        <v>46150</v>
      </c>
      <c r="B248" t="s">
        <v>94</v>
      </c>
      <c r="C248" t="s">
        <v>95</v>
      </c>
      <c r="D248" t="s">
        <v>96</v>
      </c>
      <c r="E248" t="s">
        <v>378</v>
      </c>
      <c r="F248" s="3">
        <v>0.78472222222222221</v>
      </c>
      <c r="G248" s="4">
        <v>0.18402777777777779</v>
      </c>
      <c r="H248" s="5" t="s">
        <v>19</v>
      </c>
      <c r="I248" t="s">
        <v>20</v>
      </c>
      <c r="J248" t="s">
        <v>24</v>
      </c>
      <c r="K248" t="s">
        <v>22</v>
      </c>
      <c r="L248" t="s">
        <v>379</v>
      </c>
      <c r="M248" t="s">
        <v>24</v>
      </c>
      <c r="N248">
        <f>IF(Table1[[#This Row],[Akhir]]&lt;Table1[[#This Row],[Awal]],(Table1[[#This Row],[Akhir]]+1)-Table1[[#This Row],[Awal]],Table1[[#This Row],[Akhir]]-Table1[[#This Row],[Awal]])*24</f>
        <v>9.5833333333333321</v>
      </c>
      <c r="O248" t="str">
        <f>IF(Table1[[#This Row],[Duration Real]]&gt;=6,"Major",
IF(Table1[[#This Row],[Duration Real]]&gt;=2,"Medium","Minor"))</f>
        <v>Major</v>
      </c>
    </row>
    <row r="249" spans="1:15" x14ac:dyDescent="0.35">
      <c r="A249" s="2">
        <v>46150</v>
      </c>
      <c r="B249" t="s">
        <v>94</v>
      </c>
      <c r="C249" t="s">
        <v>99</v>
      </c>
      <c r="D249" t="s">
        <v>353</v>
      </c>
      <c r="E249" t="s">
        <v>144</v>
      </c>
      <c r="F249" s="3">
        <v>0.27638888888888891</v>
      </c>
      <c r="G249" s="4">
        <v>0.31944444444444442</v>
      </c>
      <c r="H249" s="5" t="s">
        <v>19</v>
      </c>
      <c r="I249" t="s">
        <v>26</v>
      </c>
      <c r="J249" t="s">
        <v>380</v>
      </c>
      <c r="K249" t="s">
        <v>22</v>
      </c>
      <c r="L249" t="s">
        <v>143</v>
      </c>
      <c r="M249" t="s">
        <v>24</v>
      </c>
      <c r="N249">
        <f>IF(Table1[[#This Row],[Akhir]]&lt;Table1[[#This Row],[Awal]],(Table1[[#This Row],[Akhir]]+1)-Table1[[#This Row],[Awal]],Table1[[#This Row],[Akhir]]-Table1[[#This Row],[Awal]])*24</f>
        <v>1.0333333333333323</v>
      </c>
      <c r="O249" t="str">
        <f>IF(Table1[[#This Row],[Duration Real]]&gt;=6,"Major",
IF(Table1[[#This Row],[Duration Real]]&gt;=2,"Medium","Minor"))</f>
        <v>Minor</v>
      </c>
    </row>
    <row r="250" spans="1:15" x14ac:dyDescent="0.35">
      <c r="A250" s="2">
        <v>46150</v>
      </c>
      <c r="B250" t="s">
        <v>94</v>
      </c>
      <c r="C250" t="s">
        <v>99</v>
      </c>
      <c r="D250" t="s">
        <v>381</v>
      </c>
      <c r="E250" t="s">
        <v>382</v>
      </c>
      <c r="F250" s="3">
        <v>0.89583333333333337</v>
      </c>
      <c r="G250" s="4">
        <v>1.7361111111111112E-2</v>
      </c>
      <c r="H250" s="5" t="s">
        <v>19</v>
      </c>
      <c r="I250" t="s">
        <v>20</v>
      </c>
      <c r="J250" t="s">
        <v>24</v>
      </c>
      <c r="K250" t="s">
        <v>22</v>
      </c>
      <c r="L250" t="s">
        <v>43</v>
      </c>
      <c r="M250" t="s">
        <v>24</v>
      </c>
      <c r="N250">
        <f>IF(Table1[[#This Row],[Akhir]]&lt;Table1[[#This Row],[Awal]],(Table1[[#This Row],[Akhir]]+1)-Table1[[#This Row],[Awal]],Table1[[#This Row],[Akhir]]-Table1[[#This Row],[Awal]])*24</f>
        <v>2.916666666666667</v>
      </c>
      <c r="O250" t="str">
        <f>IF(Table1[[#This Row],[Duration Real]]&gt;=6,"Major",
IF(Table1[[#This Row],[Duration Real]]&gt;=2,"Medium","Minor"))</f>
        <v>Medium</v>
      </c>
    </row>
    <row r="251" spans="1:15" x14ac:dyDescent="0.35">
      <c r="A251" s="2">
        <v>46150</v>
      </c>
      <c r="B251" t="s">
        <v>94</v>
      </c>
      <c r="C251" t="s">
        <v>204</v>
      </c>
      <c r="D251" t="s">
        <v>205</v>
      </c>
      <c r="E251" t="s">
        <v>34</v>
      </c>
      <c r="F251" s="3">
        <v>0.25</v>
      </c>
      <c r="G251" s="4">
        <v>0.75</v>
      </c>
      <c r="H251" s="5" t="s">
        <v>19</v>
      </c>
      <c r="I251" t="s">
        <v>26</v>
      </c>
      <c r="J251" t="s">
        <v>207</v>
      </c>
      <c r="K251" t="s">
        <v>39</v>
      </c>
      <c r="L251" t="s">
        <v>23</v>
      </c>
      <c r="M251" t="s">
        <v>24</v>
      </c>
      <c r="N251">
        <f>IF(Table1[[#This Row],[Akhir]]&lt;Table1[[#This Row],[Awal]],(Table1[[#This Row],[Akhir]]+1)-Table1[[#This Row],[Awal]],Table1[[#This Row],[Akhir]]-Table1[[#This Row],[Awal]])*24</f>
        <v>12</v>
      </c>
      <c r="O251" t="str">
        <f>IF(Table1[[#This Row],[Duration Real]]&gt;=6,"Major",
IF(Table1[[#This Row],[Duration Real]]&gt;=2,"Medium","Minor"))</f>
        <v>Major</v>
      </c>
    </row>
    <row r="252" spans="1:15" x14ac:dyDescent="0.35">
      <c r="A252" s="2">
        <v>46150</v>
      </c>
      <c r="B252" t="s">
        <v>94</v>
      </c>
      <c r="C252" t="s">
        <v>204</v>
      </c>
      <c r="D252" t="s">
        <v>205</v>
      </c>
      <c r="E252" t="s">
        <v>34</v>
      </c>
      <c r="F252" s="3">
        <v>0.75</v>
      </c>
      <c r="G252" s="4">
        <v>0.25</v>
      </c>
      <c r="H252" s="5" t="s">
        <v>19</v>
      </c>
      <c r="I252" t="s">
        <v>20</v>
      </c>
      <c r="J252" t="s">
        <v>207</v>
      </c>
      <c r="K252" t="s">
        <v>39</v>
      </c>
      <c r="L252" t="s">
        <v>23</v>
      </c>
      <c r="M252" t="s">
        <v>24</v>
      </c>
      <c r="N252">
        <f>IF(Table1[[#This Row],[Akhir]]&lt;Table1[[#This Row],[Awal]],(Table1[[#This Row],[Akhir]]+1)-Table1[[#This Row],[Awal]],Table1[[#This Row],[Akhir]]-Table1[[#This Row],[Awal]])*24</f>
        <v>12</v>
      </c>
      <c r="O252" t="str">
        <f>IF(Table1[[#This Row],[Duration Real]]&gt;=6,"Major",
IF(Table1[[#This Row],[Duration Real]]&gt;=2,"Medium","Minor"))</f>
        <v>Major</v>
      </c>
    </row>
    <row r="253" spans="1:15" x14ac:dyDescent="0.35">
      <c r="A253" s="2">
        <v>46150</v>
      </c>
      <c r="B253" t="s">
        <v>94</v>
      </c>
      <c r="C253" t="s">
        <v>101</v>
      </c>
      <c r="D253" t="s">
        <v>102</v>
      </c>
      <c r="E253" t="s">
        <v>34</v>
      </c>
      <c r="F253" s="3">
        <v>0.25</v>
      </c>
      <c r="G253" s="4">
        <v>0.75</v>
      </c>
      <c r="H253" s="5" t="s">
        <v>19</v>
      </c>
      <c r="I253" t="s">
        <v>26</v>
      </c>
      <c r="J253" t="s">
        <v>24</v>
      </c>
      <c r="K253" t="s">
        <v>22</v>
      </c>
      <c r="L253" t="s">
        <v>23</v>
      </c>
      <c r="M253" t="s">
        <v>24</v>
      </c>
      <c r="N253">
        <f>IF(Table1[[#This Row],[Akhir]]&lt;Table1[[#This Row],[Awal]],(Table1[[#This Row],[Akhir]]+1)-Table1[[#This Row],[Awal]],Table1[[#This Row],[Akhir]]-Table1[[#This Row],[Awal]])*24</f>
        <v>12</v>
      </c>
      <c r="O253" t="str">
        <f>IF(Table1[[#This Row],[Duration Real]]&gt;=6,"Major",
IF(Table1[[#This Row],[Duration Real]]&gt;=2,"Medium","Minor"))</f>
        <v>Major</v>
      </c>
    </row>
    <row r="254" spans="1:15" x14ac:dyDescent="0.35">
      <c r="A254" s="2">
        <v>46150</v>
      </c>
      <c r="B254" t="s">
        <v>94</v>
      </c>
      <c r="C254" t="s">
        <v>101</v>
      </c>
      <c r="D254" t="s">
        <v>102</v>
      </c>
      <c r="E254" t="s">
        <v>34</v>
      </c>
      <c r="F254" s="3">
        <v>0.75</v>
      </c>
      <c r="G254" s="4">
        <v>0.25</v>
      </c>
      <c r="H254" s="5" t="s">
        <v>19</v>
      </c>
      <c r="I254" t="s">
        <v>20</v>
      </c>
      <c r="J254" t="s">
        <v>24</v>
      </c>
      <c r="K254" t="s">
        <v>22</v>
      </c>
      <c r="L254" t="s">
        <v>23</v>
      </c>
      <c r="M254" t="s">
        <v>24</v>
      </c>
      <c r="N254">
        <f>IF(Table1[[#This Row],[Akhir]]&lt;Table1[[#This Row],[Awal]],(Table1[[#This Row],[Akhir]]+1)-Table1[[#This Row],[Awal]],Table1[[#This Row],[Akhir]]-Table1[[#This Row],[Awal]])*24</f>
        <v>12</v>
      </c>
      <c r="O254" t="str">
        <f>IF(Table1[[#This Row],[Duration Real]]&gt;=6,"Major",
IF(Table1[[#This Row],[Duration Real]]&gt;=2,"Medium","Minor"))</f>
        <v>Major</v>
      </c>
    </row>
    <row r="255" spans="1:15" x14ac:dyDescent="0.35">
      <c r="A255" s="2">
        <v>46151</v>
      </c>
      <c r="B255" t="s">
        <v>15</v>
      </c>
      <c r="C255" t="s">
        <v>16</v>
      </c>
      <c r="D255" t="s">
        <v>357</v>
      </c>
      <c r="E255" t="s">
        <v>383</v>
      </c>
      <c r="F255" s="3">
        <v>0.25</v>
      </c>
      <c r="G255" s="4">
        <v>0.69236111111111109</v>
      </c>
      <c r="H255" s="5" t="s">
        <v>358</v>
      </c>
      <c r="I255" t="s">
        <v>26</v>
      </c>
      <c r="J255" t="s">
        <v>24</v>
      </c>
      <c r="K255" t="s">
        <v>22</v>
      </c>
      <c r="L255" t="s">
        <v>23</v>
      </c>
      <c r="M255" t="s">
        <v>24</v>
      </c>
      <c r="N255">
        <f>IF(Table1[[#This Row],[Akhir]]&lt;Table1[[#This Row],[Awal]],(Table1[[#This Row],[Akhir]]+1)-Table1[[#This Row],[Awal]],Table1[[#This Row],[Akhir]]-Table1[[#This Row],[Awal]])*24</f>
        <v>10.616666666666667</v>
      </c>
      <c r="O255" t="str">
        <f>IF(Table1[[#This Row],[Duration Real]]&gt;=6,"Major",
IF(Table1[[#This Row],[Duration Real]]&gt;=2,"Medium","Minor"))</f>
        <v>Major</v>
      </c>
    </row>
    <row r="256" spans="1:15" x14ac:dyDescent="0.35">
      <c r="A256" s="2">
        <v>46151</v>
      </c>
      <c r="B256" t="s">
        <v>15</v>
      </c>
      <c r="C256" t="s">
        <v>32</v>
      </c>
      <c r="D256" t="s">
        <v>314</v>
      </c>
      <c r="E256" t="s">
        <v>34</v>
      </c>
      <c r="F256" s="3">
        <v>0.25</v>
      </c>
      <c r="G256" s="4">
        <v>0.75</v>
      </c>
      <c r="H256" s="5" t="s">
        <v>19</v>
      </c>
      <c r="I256" t="s">
        <v>26</v>
      </c>
      <c r="J256" t="s">
        <v>24</v>
      </c>
      <c r="K256" t="s">
        <v>22</v>
      </c>
      <c r="L256" t="s">
        <v>43</v>
      </c>
      <c r="M256" t="s">
        <v>24</v>
      </c>
      <c r="N256">
        <f>IF(Table1[[#This Row],[Akhir]]&lt;Table1[[#This Row],[Awal]],(Table1[[#This Row],[Akhir]]+1)-Table1[[#This Row],[Awal]],Table1[[#This Row],[Akhir]]-Table1[[#This Row],[Awal]])*24</f>
        <v>12</v>
      </c>
      <c r="O256" t="str">
        <f>IF(Table1[[#This Row],[Duration Real]]&gt;=6,"Major",
IF(Table1[[#This Row],[Duration Real]]&gt;=2,"Medium","Minor"))</f>
        <v>Major</v>
      </c>
    </row>
    <row r="257" spans="1:15" x14ac:dyDescent="0.35">
      <c r="A257" s="2">
        <v>46151</v>
      </c>
      <c r="B257" t="s">
        <v>15</v>
      </c>
      <c r="C257" t="s">
        <v>32</v>
      </c>
      <c r="D257" t="s">
        <v>314</v>
      </c>
      <c r="E257" t="s">
        <v>34</v>
      </c>
      <c r="F257" s="3">
        <v>0.75</v>
      </c>
      <c r="G257" s="4">
        <v>0.25</v>
      </c>
      <c r="H257" s="5" t="s">
        <v>19</v>
      </c>
      <c r="I257" t="s">
        <v>20</v>
      </c>
      <c r="J257" t="s">
        <v>24</v>
      </c>
      <c r="K257" t="s">
        <v>22</v>
      </c>
      <c r="L257" t="s">
        <v>43</v>
      </c>
      <c r="M257" t="s">
        <v>24</v>
      </c>
      <c r="N257">
        <f>IF(Table1[[#This Row],[Akhir]]&lt;Table1[[#This Row],[Awal]],(Table1[[#This Row],[Akhir]]+1)-Table1[[#This Row],[Awal]],Table1[[#This Row],[Akhir]]-Table1[[#This Row],[Awal]])*24</f>
        <v>12</v>
      </c>
      <c r="O257" t="str">
        <f>IF(Table1[[#This Row],[Duration Real]]&gt;=6,"Major",
IF(Table1[[#This Row],[Duration Real]]&gt;=2,"Medium","Minor"))</f>
        <v>Major</v>
      </c>
    </row>
    <row r="258" spans="1:15" x14ac:dyDescent="0.35">
      <c r="A258" s="2">
        <v>46151</v>
      </c>
      <c r="B258" t="s">
        <v>15</v>
      </c>
      <c r="C258" t="s">
        <v>36</v>
      </c>
      <c r="D258" t="s">
        <v>360</v>
      </c>
      <c r="E258" t="s">
        <v>384</v>
      </c>
      <c r="F258" s="3">
        <v>0.25</v>
      </c>
      <c r="G258" s="4">
        <v>0.25</v>
      </c>
      <c r="H258" s="5" t="s">
        <v>19</v>
      </c>
      <c r="I258" t="s">
        <v>26</v>
      </c>
      <c r="J258" t="s">
        <v>24</v>
      </c>
      <c r="K258" t="s">
        <v>46</v>
      </c>
      <c r="L258" t="s">
        <v>73</v>
      </c>
      <c r="M258" t="s">
        <v>24</v>
      </c>
      <c r="N258">
        <f>IF(Table1[[#This Row],[Akhir]]&lt;Table1[[#This Row],[Awal]],(Table1[[#This Row],[Akhir]]+1)-Table1[[#This Row],[Awal]],Table1[[#This Row],[Akhir]]-Table1[[#This Row],[Awal]])*24</f>
        <v>0</v>
      </c>
      <c r="O258" t="str">
        <f>IF(Table1[[#This Row],[Duration Real]]&gt;=6,"Major",
IF(Table1[[#This Row],[Duration Real]]&gt;=2,"Medium","Minor"))</f>
        <v>Minor</v>
      </c>
    </row>
    <row r="259" spans="1:15" x14ac:dyDescent="0.35">
      <c r="A259" s="2">
        <v>46151</v>
      </c>
      <c r="B259" t="s">
        <v>15</v>
      </c>
      <c r="C259" t="s">
        <v>36</v>
      </c>
      <c r="D259" t="s">
        <v>360</v>
      </c>
      <c r="F259" s="3">
        <v>0.27083333333333331</v>
      </c>
      <c r="G259" s="4">
        <v>0.27083333333333331</v>
      </c>
      <c r="H259" s="5" t="s">
        <v>19</v>
      </c>
      <c r="I259" t="s">
        <v>26</v>
      </c>
      <c r="J259" t="s">
        <v>24</v>
      </c>
      <c r="K259" t="s">
        <v>46</v>
      </c>
      <c r="L259" t="s">
        <v>73</v>
      </c>
      <c r="M259" t="s">
        <v>24</v>
      </c>
      <c r="N259">
        <f>IF(Table1[[#This Row],[Akhir]]&lt;Table1[[#This Row],[Awal]],(Table1[[#This Row],[Akhir]]+1)-Table1[[#This Row],[Awal]],Table1[[#This Row],[Akhir]]-Table1[[#This Row],[Awal]])*24</f>
        <v>0</v>
      </c>
      <c r="O259" t="str">
        <f>IF(Table1[[#This Row],[Duration Real]]&gt;=6,"Major",
IF(Table1[[#This Row],[Duration Real]]&gt;=2,"Medium","Minor"))</f>
        <v>Minor</v>
      </c>
    </row>
    <row r="260" spans="1:15" x14ac:dyDescent="0.35">
      <c r="A260" s="2">
        <v>46151</v>
      </c>
      <c r="B260" t="s">
        <v>15</v>
      </c>
      <c r="C260" t="s">
        <v>36</v>
      </c>
      <c r="D260" t="s">
        <v>385</v>
      </c>
      <c r="E260" t="s">
        <v>382</v>
      </c>
      <c r="F260" s="3">
        <v>0.81041666666666667</v>
      </c>
      <c r="G260" s="4">
        <v>0.93194444444444446</v>
      </c>
      <c r="H260" s="5" t="s">
        <v>19</v>
      </c>
      <c r="I260" t="s">
        <v>20</v>
      </c>
      <c r="J260" t="s">
        <v>386</v>
      </c>
      <c r="K260" t="s">
        <v>22</v>
      </c>
      <c r="L260" t="s">
        <v>70</v>
      </c>
      <c r="M260" t="s">
        <v>24</v>
      </c>
      <c r="N260">
        <f>IF(Table1[[#This Row],[Akhir]]&lt;Table1[[#This Row],[Awal]],(Table1[[#This Row],[Akhir]]+1)-Table1[[#This Row],[Awal]],Table1[[#This Row],[Akhir]]-Table1[[#This Row],[Awal]])*24</f>
        <v>2.916666666666667</v>
      </c>
      <c r="O260" t="str">
        <f>IF(Table1[[#This Row],[Duration Real]]&gt;=6,"Major",
IF(Table1[[#This Row],[Duration Real]]&gt;=2,"Medium","Minor"))</f>
        <v>Medium</v>
      </c>
    </row>
    <row r="261" spans="1:15" x14ac:dyDescent="0.35">
      <c r="A261" s="2">
        <v>46151</v>
      </c>
      <c r="B261" t="s">
        <v>15</v>
      </c>
      <c r="C261" t="s">
        <v>41</v>
      </c>
      <c r="D261" t="s">
        <v>42</v>
      </c>
      <c r="E261" t="s">
        <v>34</v>
      </c>
      <c r="F261" s="3">
        <v>0.25</v>
      </c>
      <c r="G261" s="4">
        <v>0.75</v>
      </c>
      <c r="H261" s="5" t="s">
        <v>19</v>
      </c>
      <c r="I261" t="s">
        <v>26</v>
      </c>
      <c r="J261" t="s">
        <v>24</v>
      </c>
      <c r="K261" t="s">
        <v>39</v>
      </c>
      <c r="L261" t="s">
        <v>43</v>
      </c>
      <c r="M261" t="s">
        <v>24</v>
      </c>
      <c r="N261">
        <f>IF(Table1[[#This Row],[Akhir]]&lt;Table1[[#This Row],[Awal]],(Table1[[#This Row],[Akhir]]+1)-Table1[[#This Row],[Awal]],Table1[[#This Row],[Akhir]]-Table1[[#This Row],[Awal]])*24</f>
        <v>12</v>
      </c>
      <c r="O261" t="str">
        <f>IF(Table1[[#This Row],[Duration Real]]&gt;=6,"Major",
IF(Table1[[#This Row],[Duration Real]]&gt;=2,"Medium","Minor"))</f>
        <v>Major</v>
      </c>
    </row>
    <row r="262" spans="1:15" x14ac:dyDescent="0.35">
      <c r="A262" s="2">
        <v>46151</v>
      </c>
      <c r="B262" t="s">
        <v>15</v>
      </c>
      <c r="C262" t="s">
        <v>41</v>
      </c>
      <c r="D262" t="s">
        <v>42</v>
      </c>
      <c r="E262" t="s">
        <v>34</v>
      </c>
      <c r="F262" s="3">
        <v>0.75</v>
      </c>
      <c r="G262" s="4">
        <v>0.25</v>
      </c>
      <c r="H262" s="5" t="s">
        <v>19</v>
      </c>
      <c r="I262" t="s">
        <v>20</v>
      </c>
      <c r="J262" t="s">
        <v>24</v>
      </c>
      <c r="K262" t="s">
        <v>39</v>
      </c>
      <c r="L262" t="s">
        <v>43</v>
      </c>
      <c r="M262" t="s">
        <v>24</v>
      </c>
      <c r="N262">
        <f>IF(Table1[[#This Row],[Akhir]]&lt;Table1[[#This Row],[Awal]],(Table1[[#This Row],[Akhir]]+1)-Table1[[#This Row],[Awal]],Table1[[#This Row],[Akhir]]-Table1[[#This Row],[Awal]])*24</f>
        <v>12</v>
      </c>
      <c r="O262" t="str">
        <f>IF(Table1[[#This Row],[Duration Real]]&gt;=6,"Major",
IF(Table1[[#This Row],[Duration Real]]&gt;=2,"Medium","Minor"))</f>
        <v>Major</v>
      </c>
    </row>
    <row r="263" spans="1:15" x14ac:dyDescent="0.35">
      <c r="A263" s="2">
        <v>46151</v>
      </c>
      <c r="B263" t="s">
        <v>15</v>
      </c>
      <c r="C263" t="s">
        <v>131</v>
      </c>
      <c r="D263" t="s">
        <v>160</v>
      </c>
      <c r="E263" t="s">
        <v>282</v>
      </c>
      <c r="F263" s="3">
        <v>0.79305555555555551</v>
      </c>
      <c r="G263" s="4">
        <v>0.8354166666666667</v>
      </c>
      <c r="H263" s="5" t="s">
        <v>19</v>
      </c>
      <c r="I263" t="s">
        <v>20</v>
      </c>
      <c r="J263" t="s">
        <v>387</v>
      </c>
      <c r="K263" t="s">
        <v>22</v>
      </c>
      <c r="L263" t="s">
        <v>338</v>
      </c>
      <c r="M263" t="s">
        <v>24</v>
      </c>
      <c r="N263">
        <f>IF(Table1[[#This Row],[Akhir]]&lt;Table1[[#This Row],[Awal]],(Table1[[#This Row],[Akhir]]+1)-Table1[[#This Row],[Awal]],Table1[[#This Row],[Akhir]]-Table1[[#This Row],[Awal]])*24</f>
        <v>1.0166666666666684</v>
      </c>
      <c r="O263" t="str">
        <f>IF(Table1[[#This Row],[Duration Real]]&gt;=6,"Major",
IF(Table1[[#This Row],[Duration Real]]&gt;=2,"Medium","Minor"))</f>
        <v>Minor</v>
      </c>
    </row>
    <row r="264" spans="1:15" x14ac:dyDescent="0.35">
      <c r="A264" s="2">
        <v>46151</v>
      </c>
      <c r="B264" t="s">
        <v>15</v>
      </c>
      <c r="C264" t="s">
        <v>44</v>
      </c>
      <c r="D264" t="s">
        <v>45</v>
      </c>
      <c r="E264" t="s">
        <v>34</v>
      </c>
      <c r="F264" s="3">
        <v>0.25</v>
      </c>
      <c r="G264" s="4">
        <v>0.75</v>
      </c>
      <c r="H264" s="5" t="s">
        <v>19</v>
      </c>
      <c r="I264" t="s">
        <v>26</v>
      </c>
      <c r="J264" t="s">
        <v>24</v>
      </c>
      <c r="K264" t="s">
        <v>46</v>
      </c>
      <c r="L264" t="s">
        <v>47</v>
      </c>
      <c r="M264" t="s">
        <v>24</v>
      </c>
      <c r="N264">
        <f>IF(Table1[[#This Row],[Akhir]]&lt;Table1[[#This Row],[Awal]],(Table1[[#This Row],[Akhir]]+1)-Table1[[#This Row],[Awal]],Table1[[#This Row],[Akhir]]-Table1[[#This Row],[Awal]])*24</f>
        <v>12</v>
      </c>
      <c r="O264" t="str">
        <f>IF(Table1[[#This Row],[Duration Real]]&gt;=6,"Major",
IF(Table1[[#This Row],[Duration Real]]&gt;=2,"Medium","Minor"))</f>
        <v>Major</v>
      </c>
    </row>
    <row r="265" spans="1:15" x14ac:dyDescent="0.35">
      <c r="A265" s="2">
        <v>46151</v>
      </c>
      <c r="B265" t="s">
        <v>15</v>
      </c>
      <c r="C265" t="s">
        <v>44</v>
      </c>
      <c r="D265" t="s">
        <v>45</v>
      </c>
      <c r="E265" t="s">
        <v>34</v>
      </c>
      <c r="F265" s="3">
        <v>0.75</v>
      </c>
      <c r="G265" s="4">
        <v>0.25</v>
      </c>
      <c r="H265" s="5" t="s">
        <v>19</v>
      </c>
      <c r="I265" t="s">
        <v>20</v>
      </c>
      <c r="J265" t="s">
        <v>24</v>
      </c>
      <c r="K265" t="s">
        <v>46</v>
      </c>
      <c r="L265" t="s">
        <v>47</v>
      </c>
      <c r="M265" t="s">
        <v>24</v>
      </c>
      <c r="N265">
        <f>IF(Table1[[#This Row],[Akhir]]&lt;Table1[[#This Row],[Awal]],(Table1[[#This Row],[Akhir]]+1)-Table1[[#This Row],[Awal]],Table1[[#This Row],[Akhir]]-Table1[[#This Row],[Awal]])*24</f>
        <v>12</v>
      </c>
      <c r="O265" t="str">
        <f>IF(Table1[[#This Row],[Duration Real]]&gt;=6,"Major",
IF(Table1[[#This Row],[Duration Real]]&gt;=2,"Medium","Minor"))</f>
        <v>Major</v>
      </c>
    </row>
    <row r="266" spans="1:15" x14ac:dyDescent="0.35">
      <c r="A266" s="2">
        <v>46151</v>
      </c>
      <c r="B266" t="s">
        <v>15</v>
      </c>
      <c r="C266" t="s">
        <v>48</v>
      </c>
      <c r="D266" t="s">
        <v>388</v>
      </c>
      <c r="E266" t="s">
        <v>389</v>
      </c>
      <c r="F266" s="3">
        <v>0.94374999999999998</v>
      </c>
      <c r="G266" s="4">
        <v>0.25</v>
      </c>
      <c r="H266" s="5" t="s">
        <v>19</v>
      </c>
      <c r="I266" t="s">
        <v>20</v>
      </c>
      <c r="J266" t="s">
        <v>24</v>
      </c>
      <c r="K266" t="s">
        <v>22</v>
      </c>
      <c r="L266" t="s">
        <v>51</v>
      </c>
      <c r="M266" t="s">
        <v>24</v>
      </c>
      <c r="N266">
        <f>IF(Table1[[#This Row],[Akhir]]&lt;Table1[[#This Row],[Awal]],(Table1[[#This Row],[Akhir]]+1)-Table1[[#This Row],[Awal]],Table1[[#This Row],[Akhir]]-Table1[[#This Row],[Awal]])*24</f>
        <v>7.3500000000000005</v>
      </c>
      <c r="O266" t="str">
        <f>IF(Table1[[#This Row],[Duration Real]]&gt;=6,"Major",
IF(Table1[[#This Row],[Duration Real]]&gt;=2,"Medium","Minor"))</f>
        <v>Major</v>
      </c>
    </row>
    <row r="267" spans="1:15" x14ac:dyDescent="0.35">
      <c r="A267" s="2">
        <v>46151</v>
      </c>
      <c r="B267" t="s">
        <v>15</v>
      </c>
      <c r="C267" t="s">
        <v>52</v>
      </c>
      <c r="D267" t="s">
        <v>390</v>
      </c>
      <c r="E267" t="s">
        <v>268</v>
      </c>
      <c r="F267" s="3">
        <v>0.28819444444444442</v>
      </c>
      <c r="G267" s="4">
        <v>0.30486111111111114</v>
      </c>
      <c r="H267" s="5" t="s">
        <v>19</v>
      </c>
      <c r="I267" t="s">
        <v>26</v>
      </c>
      <c r="J267" t="s">
        <v>24</v>
      </c>
      <c r="K267" t="s">
        <v>22</v>
      </c>
      <c r="L267" t="s">
        <v>391</v>
      </c>
      <c r="M267" t="s">
        <v>24</v>
      </c>
      <c r="N267">
        <f>IF(Table1[[#This Row],[Akhir]]&lt;Table1[[#This Row],[Awal]],(Table1[[#This Row],[Akhir]]+1)-Table1[[#This Row],[Awal]],Table1[[#This Row],[Akhir]]-Table1[[#This Row],[Awal]])*24</f>
        <v>0.40000000000000124</v>
      </c>
      <c r="O267" t="str">
        <f>IF(Table1[[#This Row],[Duration Real]]&gt;=6,"Major",
IF(Table1[[#This Row],[Duration Real]]&gt;=2,"Medium","Minor"))</f>
        <v>Minor</v>
      </c>
    </row>
    <row r="268" spans="1:15" x14ac:dyDescent="0.35">
      <c r="A268" s="2">
        <v>46151</v>
      </c>
      <c r="B268" t="s">
        <v>15</v>
      </c>
      <c r="C268" t="s">
        <v>57</v>
      </c>
      <c r="D268" t="s">
        <v>53</v>
      </c>
      <c r="E268" t="s">
        <v>227</v>
      </c>
      <c r="F268" s="3">
        <v>0.27083333333333331</v>
      </c>
      <c r="G268" s="4">
        <v>0.30416666666666664</v>
      </c>
      <c r="H268" s="5" t="s">
        <v>19</v>
      </c>
      <c r="I268" t="s">
        <v>26</v>
      </c>
      <c r="J268" t="s">
        <v>24</v>
      </c>
      <c r="K268" t="s">
        <v>39</v>
      </c>
      <c r="L268" t="s">
        <v>43</v>
      </c>
      <c r="M268" t="s">
        <v>24</v>
      </c>
      <c r="N268">
        <f>IF(Table1[[#This Row],[Akhir]]&lt;Table1[[#This Row],[Awal]],(Table1[[#This Row],[Akhir]]+1)-Table1[[#This Row],[Awal]],Table1[[#This Row],[Akhir]]-Table1[[#This Row],[Awal]])*24</f>
        <v>0.79999999999999982</v>
      </c>
      <c r="O268" t="str">
        <f>IF(Table1[[#This Row],[Duration Real]]&gt;=6,"Major",
IF(Table1[[#This Row],[Duration Real]]&gt;=2,"Medium","Minor"))</f>
        <v>Minor</v>
      </c>
    </row>
    <row r="269" spans="1:15" x14ac:dyDescent="0.35">
      <c r="A269" s="2">
        <v>46151</v>
      </c>
      <c r="B269" t="s">
        <v>15</v>
      </c>
      <c r="C269" t="s">
        <v>57</v>
      </c>
      <c r="D269" t="s">
        <v>392</v>
      </c>
      <c r="E269" t="s">
        <v>369</v>
      </c>
      <c r="F269" s="3">
        <v>0.83194444444444449</v>
      </c>
      <c r="G269" s="4">
        <v>0.88124999999999998</v>
      </c>
      <c r="H269" s="5" t="s">
        <v>19</v>
      </c>
      <c r="I269" t="s">
        <v>20</v>
      </c>
      <c r="J269" t="s">
        <v>24</v>
      </c>
      <c r="K269" t="s">
        <v>22</v>
      </c>
      <c r="L269" t="s">
        <v>43</v>
      </c>
      <c r="M269" t="s">
        <v>24</v>
      </c>
      <c r="N269">
        <f>IF(Table1[[#This Row],[Akhir]]&lt;Table1[[#This Row],[Awal]],(Table1[[#This Row],[Akhir]]+1)-Table1[[#This Row],[Awal]],Table1[[#This Row],[Akhir]]-Table1[[#This Row],[Awal]])*24</f>
        <v>1.1833333333333318</v>
      </c>
      <c r="O269" t="str">
        <f>IF(Table1[[#This Row],[Duration Real]]&gt;=6,"Major",
IF(Table1[[#This Row],[Duration Real]]&gt;=2,"Medium","Minor"))</f>
        <v>Minor</v>
      </c>
    </row>
    <row r="270" spans="1:15" x14ac:dyDescent="0.35">
      <c r="A270" s="2">
        <v>46151</v>
      </c>
      <c r="B270" t="s">
        <v>15</v>
      </c>
      <c r="C270" t="s">
        <v>230</v>
      </c>
      <c r="D270" t="s">
        <v>163</v>
      </c>
      <c r="E270" t="s">
        <v>393</v>
      </c>
      <c r="F270" s="3">
        <v>0.83472222222222225</v>
      </c>
      <c r="G270" s="4">
        <v>4.791666666666667E-2</v>
      </c>
      <c r="H270" s="5" t="s">
        <v>19</v>
      </c>
      <c r="I270" t="s">
        <v>20</v>
      </c>
      <c r="J270" t="s">
        <v>24</v>
      </c>
      <c r="K270" t="s">
        <v>22</v>
      </c>
      <c r="L270" t="s">
        <v>366</v>
      </c>
      <c r="M270" t="s">
        <v>24</v>
      </c>
      <c r="N270">
        <f>IF(Table1[[#This Row],[Akhir]]&lt;Table1[[#This Row],[Awal]],(Table1[[#This Row],[Akhir]]+1)-Table1[[#This Row],[Awal]],Table1[[#This Row],[Akhir]]-Table1[[#This Row],[Awal]])*24</f>
        <v>5.1166666666666645</v>
      </c>
      <c r="O270" t="str">
        <f>IF(Table1[[#This Row],[Duration Real]]&gt;=6,"Major",
IF(Table1[[#This Row],[Duration Real]]&gt;=2,"Medium","Minor"))</f>
        <v>Medium</v>
      </c>
    </row>
    <row r="271" spans="1:15" x14ac:dyDescent="0.35">
      <c r="A271" s="2">
        <v>46151</v>
      </c>
      <c r="B271" t="s">
        <v>15</v>
      </c>
      <c r="C271" t="s">
        <v>64</v>
      </c>
      <c r="D271" t="s">
        <v>89</v>
      </c>
      <c r="E271" t="s">
        <v>249</v>
      </c>
      <c r="F271" s="3">
        <v>0.58888888888888891</v>
      </c>
      <c r="G271" s="4">
        <v>0.61805555555555558</v>
      </c>
      <c r="H271" s="5" t="s">
        <v>19</v>
      </c>
      <c r="I271" t="s">
        <v>26</v>
      </c>
      <c r="J271" t="s">
        <v>394</v>
      </c>
      <c r="K271" t="s">
        <v>22</v>
      </c>
      <c r="L271" t="s">
        <v>143</v>
      </c>
      <c r="M271" t="s">
        <v>24</v>
      </c>
      <c r="N271">
        <f>IF(Table1[[#This Row],[Akhir]]&lt;Table1[[#This Row],[Awal]],(Table1[[#This Row],[Akhir]]+1)-Table1[[#This Row],[Awal]],Table1[[#This Row],[Akhir]]-Table1[[#This Row],[Awal]])*24</f>
        <v>0.70000000000000018</v>
      </c>
      <c r="O271" t="str">
        <f>IF(Table1[[#This Row],[Duration Real]]&gt;=6,"Major",
IF(Table1[[#This Row],[Duration Real]]&gt;=2,"Medium","Minor"))</f>
        <v>Minor</v>
      </c>
    </row>
    <row r="272" spans="1:15" x14ac:dyDescent="0.35">
      <c r="A272" s="2">
        <v>46151</v>
      </c>
      <c r="B272" t="s">
        <v>15</v>
      </c>
      <c r="C272" t="s">
        <v>76</v>
      </c>
      <c r="D272" t="s">
        <v>395</v>
      </c>
      <c r="E272" t="s">
        <v>396</v>
      </c>
      <c r="F272" s="3">
        <v>0.97638888888888886</v>
      </c>
      <c r="G272" s="4">
        <v>0.11527777777777778</v>
      </c>
      <c r="H272" s="5" t="s">
        <v>19</v>
      </c>
      <c r="I272" t="s">
        <v>20</v>
      </c>
      <c r="J272" t="s">
        <v>24</v>
      </c>
      <c r="K272" t="s">
        <v>22</v>
      </c>
      <c r="L272" t="s">
        <v>134</v>
      </c>
      <c r="M272" t="s">
        <v>24</v>
      </c>
      <c r="N272">
        <f>IF(Table1[[#This Row],[Akhir]]&lt;Table1[[#This Row],[Awal]],(Table1[[#This Row],[Akhir]]+1)-Table1[[#This Row],[Awal]],Table1[[#This Row],[Akhir]]-Table1[[#This Row],[Awal]])*24</f>
        <v>3.3333333333333348</v>
      </c>
      <c r="O272" t="str">
        <f>IF(Table1[[#This Row],[Duration Real]]&gt;=6,"Major",
IF(Table1[[#This Row],[Duration Real]]&gt;=2,"Medium","Minor"))</f>
        <v>Medium</v>
      </c>
    </row>
    <row r="273" spans="1:15" x14ac:dyDescent="0.35">
      <c r="A273" s="2">
        <v>46151</v>
      </c>
      <c r="B273" t="s">
        <v>15</v>
      </c>
      <c r="C273" t="s">
        <v>85</v>
      </c>
      <c r="D273" t="s">
        <v>86</v>
      </c>
      <c r="E273" t="s">
        <v>34</v>
      </c>
      <c r="F273" s="3">
        <v>0.25</v>
      </c>
      <c r="G273" s="4">
        <v>0.75</v>
      </c>
      <c r="H273" s="5" t="s">
        <v>19</v>
      </c>
      <c r="I273" t="s">
        <v>26</v>
      </c>
      <c r="J273" t="s">
        <v>24</v>
      </c>
      <c r="K273" t="s">
        <v>22</v>
      </c>
      <c r="L273" t="s">
        <v>87</v>
      </c>
      <c r="M273" t="s">
        <v>24</v>
      </c>
      <c r="N273">
        <f>IF(Table1[[#This Row],[Akhir]]&lt;Table1[[#This Row],[Awal]],(Table1[[#This Row],[Akhir]]+1)-Table1[[#This Row],[Awal]],Table1[[#This Row],[Akhir]]-Table1[[#This Row],[Awal]])*24</f>
        <v>12</v>
      </c>
      <c r="O273" t="str">
        <f>IF(Table1[[#This Row],[Duration Real]]&gt;=6,"Major",
IF(Table1[[#This Row],[Duration Real]]&gt;=2,"Medium","Minor"))</f>
        <v>Major</v>
      </c>
    </row>
    <row r="274" spans="1:15" x14ac:dyDescent="0.35">
      <c r="A274" s="2">
        <v>46151</v>
      </c>
      <c r="B274" t="s">
        <v>15</v>
      </c>
      <c r="C274" t="s">
        <v>85</v>
      </c>
      <c r="D274" t="s">
        <v>86</v>
      </c>
      <c r="E274" t="s">
        <v>34</v>
      </c>
      <c r="F274" s="3">
        <v>0.75</v>
      </c>
      <c r="G274" s="4">
        <v>0.25</v>
      </c>
      <c r="H274" s="5" t="s">
        <v>19</v>
      </c>
      <c r="I274" t="s">
        <v>20</v>
      </c>
      <c r="J274" t="s">
        <v>24</v>
      </c>
      <c r="K274" t="s">
        <v>22</v>
      </c>
      <c r="L274" t="s">
        <v>87</v>
      </c>
      <c r="M274" t="s">
        <v>24</v>
      </c>
      <c r="N274">
        <f>IF(Table1[[#This Row],[Akhir]]&lt;Table1[[#This Row],[Awal]],(Table1[[#This Row],[Akhir]]+1)-Table1[[#This Row],[Awal]],Table1[[#This Row],[Akhir]]-Table1[[#This Row],[Awal]])*24</f>
        <v>12</v>
      </c>
      <c r="O274" t="str">
        <f>IF(Table1[[#This Row],[Duration Real]]&gt;=6,"Major",
IF(Table1[[#This Row],[Duration Real]]&gt;=2,"Medium","Minor"))</f>
        <v>Major</v>
      </c>
    </row>
    <row r="275" spans="1:15" x14ac:dyDescent="0.35">
      <c r="A275" s="2">
        <v>46151</v>
      </c>
      <c r="B275" t="s">
        <v>94</v>
      </c>
      <c r="C275" t="s">
        <v>95</v>
      </c>
      <c r="D275" t="s">
        <v>397</v>
      </c>
      <c r="E275" t="s">
        <v>398</v>
      </c>
      <c r="F275" s="3">
        <v>0.48958333333333331</v>
      </c>
      <c r="G275" s="4">
        <v>0.56527777777777777</v>
      </c>
      <c r="H275" s="5" t="s">
        <v>19</v>
      </c>
      <c r="I275" t="s">
        <v>26</v>
      </c>
      <c r="J275" t="s">
        <v>24</v>
      </c>
      <c r="K275" t="s">
        <v>22</v>
      </c>
      <c r="L275" t="s">
        <v>143</v>
      </c>
      <c r="M275" t="s">
        <v>24</v>
      </c>
      <c r="N275">
        <f>IF(Table1[[#This Row],[Akhir]]&lt;Table1[[#This Row],[Awal]],(Table1[[#This Row],[Akhir]]+1)-Table1[[#This Row],[Awal]],Table1[[#This Row],[Akhir]]-Table1[[#This Row],[Awal]])*24</f>
        <v>1.8166666666666669</v>
      </c>
      <c r="O275" t="str">
        <f>IF(Table1[[#This Row],[Duration Real]]&gt;=6,"Major",
IF(Table1[[#This Row],[Duration Real]]&gt;=2,"Medium","Minor"))</f>
        <v>Minor</v>
      </c>
    </row>
    <row r="276" spans="1:15" x14ac:dyDescent="0.35">
      <c r="A276" s="2">
        <v>46151</v>
      </c>
      <c r="B276" t="s">
        <v>94</v>
      </c>
      <c r="C276" t="s">
        <v>95</v>
      </c>
      <c r="D276" t="s">
        <v>399</v>
      </c>
      <c r="E276" t="s">
        <v>400</v>
      </c>
      <c r="F276" s="3">
        <v>4.2361111111111113E-2</v>
      </c>
      <c r="G276" s="4">
        <v>0.25</v>
      </c>
      <c r="H276" s="5" t="s">
        <v>19</v>
      </c>
      <c r="I276" t="s">
        <v>20</v>
      </c>
      <c r="J276" t="s">
        <v>24</v>
      </c>
      <c r="K276" t="s">
        <v>22</v>
      </c>
      <c r="L276" t="s">
        <v>298</v>
      </c>
      <c r="M276" t="s">
        <v>24</v>
      </c>
      <c r="N276">
        <f>IF(Table1[[#This Row],[Akhir]]&lt;Table1[[#This Row],[Awal]],(Table1[[#This Row],[Akhir]]+1)-Table1[[#This Row],[Awal]],Table1[[#This Row],[Akhir]]-Table1[[#This Row],[Awal]])*24</f>
        <v>4.9833333333333325</v>
      </c>
      <c r="O276" t="str">
        <f>IF(Table1[[#This Row],[Duration Real]]&gt;=6,"Major",
IF(Table1[[#This Row],[Duration Real]]&gt;=2,"Medium","Minor"))</f>
        <v>Medium</v>
      </c>
    </row>
    <row r="277" spans="1:15" x14ac:dyDescent="0.35">
      <c r="A277" s="2">
        <v>46151</v>
      </c>
      <c r="B277" t="s">
        <v>94</v>
      </c>
      <c r="C277" t="s">
        <v>99</v>
      </c>
      <c r="D277" t="s">
        <v>401</v>
      </c>
      <c r="E277" t="s">
        <v>69</v>
      </c>
      <c r="F277" s="3">
        <v>0.45833333333333331</v>
      </c>
      <c r="G277" s="4">
        <v>0.56527777777777777</v>
      </c>
      <c r="H277" s="5" t="s">
        <v>19</v>
      </c>
      <c r="I277" t="s">
        <v>26</v>
      </c>
      <c r="J277" t="s">
        <v>24</v>
      </c>
      <c r="K277" t="s">
        <v>22</v>
      </c>
      <c r="L277" t="s">
        <v>43</v>
      </c>
      <c r="M277" t="s">
        <v>24</v>
      </c>
      <c r="N277">
        <f>IF(Table1[[#This Row],[Akhir]]&lt;Table1[[#This Row],[Awal]],(Table1[[#This Row],[Akhir]]+1)-Table1[[#This Row],[Awal]],Table1[[#This Row],[Akhir]]-Table1[[#This Row],[Awal]])*24</f>
        <v>2.5666666666666669</v>
      </c>
      <c r="O277" t="str">
        <f>IF(Table1[[#This Row],[Duration Real]]&gt;=6,"Major",
IF(Table1[[#This Row],[Duration Real]]&gt;=2,"Medium","Minor"))</f>
        <v>Medium</v>
      </c>
    </row>
    <row r="278" spans="1:15" x14ac:dyDescent="0.35">
      <c r="A278" s="2">
        <v>46151</v>
      </c>
      <c r="B278" t="s">
        <v>94</v>
      </c>
      <c r="C278" t="s">
        <v>99</v>
      </c>
      <c r="D278" t="s">
        <v>381</v>
      </c>
      <c r="E278" t="s">
        <v>402</v>
      </c>
      <c r="F278" s="3">
        <v>0.81180555555555556</v>
      </c>
      <c r="G278" s="4">
        <v>0.85069444444444442</v>
      </c>
      <c r="H278" s="5" t="s">
        <v>19</v>
      </c>
      <c r="I278" t="s">
        <v>20</v>
      </c>
      <c r="J278" t="s">
        <v>24</v>
      </c>
      <c r="K278" t="s">
        <v>22</v>
      </c>
      <c r="L278" t="s">
        <v>43</v>
      </c>
      <c r="M278" t="s">
        <v>24</v>
      </c>
      <c r="N278">
        <f>IF(Table1[[#This Row],[Akhir]]&lt;Table1[[#This Row],[Awal]],(Table1[[#This Row],[Akhir]]+1)-Table1[[#This Row],[Awal]],Table1[[#This Row],[Akhir]]-Table1[[#This Row],[Awal]])*24</f>
        <v>0.93333333333333268</v>
      </c>
      <c r="O278" t="str">
        <f>IF(Table1[[#This Row],[Duration Real]]&gt;=6,"Major",
IF(Table1[[#This Row],[Duration Real]]&gt;=2,"Medium","Minor"))</f>
        <v>Minor</v>
      </c>
    </row>
    <row r="279" spans="1:15" x14ac:dyDescent="0.35">
      <c r="A279" s="2">
        <v>46151</v>
      </c>
      <c r="B279" t="s">
        <v>94</v>
      </c>
      <c r="C279" t="s">
        <v>99</v>
      </c>
      <c r="D279" t="s">
        <v>403</v>
      </c>
      <c r="E279" t="s">
        <v>404</v>
      </c>
      <c r="F279" s="3">
        <v>0.96250000000000002</v>
      </c>
      <c r="G279" s="4">
        <v>0.25</v>
      </c>
      <c r="H279" s="5" t="s">
        <v>19</v>
      </c>
      <c r="I279" t="s">
        <v>20</v>
      </c>
      <c r="J279" t="s">
        <v>24</v>
      </c>
      <c r="K279" t="s">
        <v>22</v>
      </c>
      <c r="L279" t="s">
        <v>298</v>
      </c>
      <c r="M279" t="s">
        <v>24</v>
      </c>
      <c r="N279">
        <f>IF(Table1[[#This Row],[Akhir]]&lt;Table1[[#This Row],[Awal]],(Table1[[#This Row],[Akhir]]+1)-Table1[[#This Row],[Awal]],Table1[[#This Row],[Akhir]]-Table1[[#This Row],[Awal]])*24</f>
        <v>6.8999999999999995</v>
      </c>
      <c r="O279" t="str">
        <f>IF(Table1[[#This Row],[Duration Real]]&gt;=6,"Major",
IF(Table1[[#This Row],[Duration Real]]&gt;=2,"Medium","Minor"))</f>
        <v>Major</v>
      </c>
    </row>
    <row r="280" spans="1:15" x14ac:dyDescent="0.35">
      <c r="A280" s="2">
        <v>46151</v>
      </c>
      <c r="B280" t="s">
        <v>94</v>
      </c>
      <c r="C280" t="s">
        <v>204</v>
      </c>
      <c r="D280" t="s">
        <v>205</v>
      </c>
      <c r="E280" t="s">
        <v>384</v>
      </c>
      <c r="F280" s="3">
        <v>0.25</v>
      </c>
      <c r="G280" s="4">
        <v>0.25</v>
      </c>
      <c r="H280" s="5" t="s">
        <v>19</v>
      </c>
      <c r="I280" t="s">
        <v>26</v>
      </c>
      <c r="J280" t="s">
        <v>207</v>
      </c>
      <c r="K280" t="s">
        <v>39</v>
      </c>
      <c r="L280" t="s">
        <v>23</v>
      </c>
      <c r="M280" t="s">
        <v>24</v>
      </c>
      <c r="N280">
        <f>IF(Table1[[#This Row],[Akhir]]&lt;Table1[[#This Row],[Awal]],(Table1[[#This Row],[Akhir]]+1)-Table1[[#This Row],[Awal]],Table1[[#This Row],[Akhir]]-Table1[[#This Row],[Awal]])*24</f>
        <v>0</v>
      </c>
      <c r="O280" t="str">
        <f>IF(Table1[[#This Row],[Duration Real]]&gt;=6,"Major",
IF(Table1[[#This Row],[Duration Real]]&gt;=2,"Medium","Minor"))</f>
        <v>Minor</v>
      </c>
    </row>
    <row r="281" spans="1:15" x14ac:dyDescent="0.35">
      <c r="A281" s="2">
        <v>46151</v>
      </c>
      <c r="B281" t="s">
        <v>94</v>
      </c>
      <c r="C281" t="s">
        <v>101</v>
      </c>
      <c r="D281" t="s">
        <v>102</v>
      </c>
      <c r="E281" t="s">
        <v>34</v>
      </c>
      <c r="F281" s="3">
        <v>0.25</v>
      </c>
      <c r="G281" s="4">
        <v>0.75</v>
      </c>
      <c r="H281" s="5" t="s">
        <v>19</v>
      </c>
      <c r="I281" t="s">
        <v>26</v>
      </c>
      <c r="J281" t="s">
        <v>24</v>
      </c>
      <c r="K281" t="s">
        <v>22</v>
      </c>
      <c r="L281" t="s">
        <v>23</v>
      </c>
      <c r="M281" t="s">
        <v>24</v>
      </c>
      <c r="N281">
        <f>IF(Table1[[#This Row],[Akhir]]&lt;Table1[[#This Row],[Awal]],(Table1[[#This Row],[Akhir]]+1)-Table1[[#This Row],[Awal]],Table1[[#This Row],[Akhir]]-Table1[[#This Row],[Awal]])*24</f>
        <v>12</v>
      </c>
      <c r="O281" t="str">
        <f>IF(Table1[[#This Row],[Duration Real]]&gt;=6,"Major",
IF(Table1[[#This Row],[Duration Real]]&gt;=2,"Medium","Minor"))</f>
        <v>Major</v>
      </c>
    </row>
    <row r="282" spans="1:15" x14ac:dyDescent="0.35">
      <c r="A282" s="2">
        <v>46151</v>
      </c>
      <c r="B282" t="s">
        <v>94</v>
      </c>
      <c r="C282" t="s">
        <v>101</v>
      </c>
      <c r="D282" t="s">
        <v>102</v>
      </c>
      <c r="E282" t="s">
        <v>34</v>
      </c>
      <c r="F282" s="3">
        <v>0.75</v>
      </c>
      <c r="G282" s="4">
        <v>0.25</v>
      </c>
      <c r="H282" s="5" t="s">
        <v>19</v>
      </c>
      <c r="I282" t="s">
        <v>20</v>
      </c>
      <c r="J282" t="s">
        <v>24</v>
      </c>
      <c r="K282" t="s">
        <v>22</v>
      </c>
      <c r="L282" t="s">
        <v>23</v>
      </c>
      <c r="M282" t="s">
        <v>24</v>
      </c>
      <c r="N282">
        <f>IF(Table1[[#This Row],[Akhir]]&lt;Table1[[#This Row],[Awal]],(Table1[[#This Row],[Akhir]]+1)-Table1[[#This Row],[Awal]],Table1[[#This Row],[Akhir]]-Table1[[#This Row],[Awal]])*24</f>
        <v>12</v>
      </c>
      <c r="O282" t="str">
        <f>IF(Table1[[#This Row],[Duration Real]]&gt;=6,"Major",
IF(Table1[[#This Row],[Duration Real]]&gt;=2,"Medium","Minor"))</f>
        <v>Major</v>
      </c>
    </row>
    <row r="283" spans="1:15" x14ac:dyDescent="0.35">
      <c r="A283" s="2">
        <v>46152</v>
      </c>
      <c r="B283" t="s">
        <v>15</v>
      </c>
      <c r="C283" t="s">
        <v>16</v>
      </c>
      <c r="D283" t="s">
        <v>405</v>
      </c>
      <c r="E283" t="s">
        <v>406</v>
      </c>
      <c r="F283" s="3">
        <v>0.9243055555555556</v>
      </c>
      <c r="G283" s="4">
        <v>5.5555555555555558E-3</v>
      </c>
      <c r="H283" s="5" t="s">
        <v>19</v>
      </c>
      <c r="I283" t="s">
        <v>20</v>
      </c>
      <c r="J283" t="s">
        <v>24</v>
      </c>
      <c r="K283" t="s">
        <v>22</v>
      </c>
      <c r="L283" t="s">
        <v>165</v>
      </c>
      <c r="M283" t="s">
        <v>24</v>
      </c>
      <c r="N283">
        <f>IF(Table1[[#This Row],[Akhir]]&lt;Table1[[#This Row],[Awal]],(Table1[[#This Row],[Akhir]]+1)-Table1[[#This Row],[Awal]],Table1[[#This Row],[Akhir]]-Table1[[#This Row],[Awal]])*24</f>
        <v>1.9499999999999984</v>
      </c>
      <c r="O283" t="str">
        <f>IF(Table1[[#This Row],[Duration Real]]&gt;=6,"Major",
IF(Table1[[#This Row],[Duration Real]]&gt;=2,"Medium","Minor"))</f>
        <v>Minor</v>
      </c>
    </row>
    <row r="284" spans="1:15" x14ac:dyDescent="0.35">
      <c r="A284" s="2">
        <v>46152</v>
      </c>
      <c r="B284" t="s">
        <v>15</v>
      </c>
      <c r="C284" t="s">
        <v>16</v>
      </c>
      <c r="D284" t="s">
        <v>407</v>
      </c>
      <c r="E284" t="s">
        <v>174</v>
      </c>
      <c r="F284" s="3">
        <v>7.2222222222222215E-2</v>
      </c>
      <c r="G284" s="4">
        <v>0.2013888888888889</v>
      </c>
      <c r="H284" s="5" t="s">
        <v>19</v>
      </c>
      <c r="I284" t="s">
        <v>20</v>
      </c>
      <c r="J284" t="s">
        <v>24</v>
      </c>
      <c r="K284" t="s">
        <v>22</v>
      </c>
      <c r="L284" t="s">
        <v>43</v>
      </c>
      <c r="M284" t="s">
        <v>24</v>
      </c>
      <c r="N284">
        <f>IF(Table1[[#This Row],[Akhir]]&lt;Table1[[#This Row],[Awal]],(Table1[[#This Row],[Akhir]]+1)-Table1[[#This Row],[Awal]],Table1[[#This Row],[Akhir]]-Table1[[#This Row],[Awal]])*24</f>
        <v>3.1000000000000005</v>
      </c>
      <c r="O284" t="str">
        <f>IF(Table1[[#This Row],[Duration Real]]&gt;=6,"Major",
IF(Table1[[#This Row],[Duration Real]]&gt;=2,"Medium","Minor"))</f>
        <v>Medium</v>
      </c>
    </row>
    <row r="285" spans="1:15" x14ac:dyDescent="0.35">
      <c r="A285" s="2">
        <v>46152</v>
      </c>
      <c r="B285" t="s">
        <v>15</v>
      </c>
      <c r="C285" t="s">
        <v>28</v>
      </c>
      <c r="D285" t="s">
        <v>408</v>
      </c>
      <c r="E285" t="s">
        <v>409</v>
      </c>
      <c r="F285" s="3">
        <v>0.43472222222222223</v>
      </c>
      <c r="G285" s="4">
        <v>0.47847222222222224</v>
      </c>
      <c r="H285" s="5" t="s">
        <v>19</v>
      </c>
      <c r="I285" t="s">
        <v>26</v>
      </c>
      <c r="J285" t="s">
        <v>410</v>
      </c>
      <c r="K285" t="s">
        <v>22</v>
      </c>
      <c r="L285" t="s">
        <v>40</v>
      </c>
      <c r="M285" t="s">
        <v>24</v>
      </c>
      <c r="N285">
        <f>IF(Table1[[#This Row],[Akhir]]&lt;Table1[[#This Row],[Awal]],(Table1[[#This Row],[Akhir]]+1)-Table1[[#This Row],[Awal]],Table1[[#This Row],[Akhir]]-Table1[[#This Row],[Awal]])*24</f>
        <v>1.0500000000000003</v>
      </c>
      <c r="O285" t="str">
        <f>IF(Table1[[#This Row],[Duration Real]]&gt;=6,"Major",
IF(Table1[[#This Row],[Duration Real]]&gt;=2,"Medium","Minor"))</f>
        <v>Minor</v>
      </c>
    </row>
    <row r="286" spans="1:15" x14ac:dyDescent="0.35">
      <c r="A286" s="2">
        <v>46152</v>
      </c>
      <c r="B286" t="s">
        <v>15</v>
      </c>
      <c r="C286" t="s">
        <v>32</v>
      </c>
      <c r="D286" t="s">
        <v>314</v>
      </c>
      <c r="E286" t="s">
        <v>34</v>
      </c>
      <c r="F286" s="3">
        <v>0.25</v>
      </c>
      <c r="G286" s="4">
        <v>0.75</v>
      </c>
      <c r="H286" s="5" t="s">
        <v>19</v>
      </c>
      <c r="I286" t="s">
        <v>26</v>
      </c>
      <c r="J286" t="s">
        <v>24</v>
      </c>
      <c r="K286" t="s">
        <v>22</v>
      </c>
      <c r="L286" t="s">
        <v>43</v>
      </c>
      <c r="M286" t="s">
        <v>24</v>
      </c>
      <c r="N286">
        <f>IF(Table1[[#This Row],[Akhir]]&lt;Table1[[#This Row],[Awal]],(Table1[[#This Row],[Akhir]]+1)-Table1[[#This Row],[Awal]],Table1[[#This Row],[Akhir]]-Table1[[#This Row],[Awal]])*24</f>
        <v>12</v>
      </c>
      <c r="O286" t="str">
        <f>IF(Table1[[#This Row],[Duration Real]]&gt;=6,"Major",
IF(Table1[[#This Row],[Duration Real]]&gt;=2,"Medium","Minor"))</f>
        <v>Major</v>
      </c>
    </row>
    <row r="287" spans="1:15" x14ac:dyDescent="0.35">
      <c r="A287" s="2">
        <v>46152</v>
      </c>
      <c r="B287" t="s">
        <v>15</v>
      </c>
      <c r="C287" t="s">
        <v>32</v>
      </c>
      <c r="D287" t="s">
        <v>314</v>
      </c>
      <c r="E287" t="s">
        <v>34</v>
      </c>
      <c r="F287" s="3">
        <v>0.75</v>
      </c>
      <c r="G287" s="4">
        <v>0.25</v>
      </c>
      <c r="H287" s="5" t="s">
        <v>19</v>
      </c>
      <c r="I287" t="s">
        <v>20</v>
      </c>
      <c r="J287" t="s">
        <v>24</v>
      </c>
      <c r="K287" t="s">
        <v>22</v>
      </c>
      <c r="L287" t="s">
        <v>43</v>
      </c>
      <c r="M287" t="s">
        <v>24</v>
      </c>
      <c r="N287">
        <f>IF(Table1[[#This Row],[Akhir]]&lt;Table1[[#This Row],[Awal]],(Table1[[#This Row],[Akhir]]+1)-Table1[[#This Row],[Awal]],Table1[[#This Row],[Akhir]]-Table1[[#This Row],[Awal]])*24</f>
        <v>12</v>
      </c>
      <c r="O287" t="str">
        <f>IF(Table1[[#This Row],[Duration Real]]&gt;=6,"Major",
IF(Table1[[#This Row],[Duration Real]]&gt;=2,"Medium","Minor"))</f>
        <v>Major</v>
      </c>
    </row>
    <row r="288" spans="1:15" x14ac:dyDescent="0.35">
      <c r="A288" s="2">
        <v>46152</v>
      </c>
      <c r="B288" t="s">
        <v>15</v>
      </c>
      <c r="C288" t="s">
        <v>41</v>
      </c>
      <c r="D288" t="s">
        <v>42</v>
      </c>
      <c r="E288" t="s">
        <v>34</v>
      </c>
      <c r="F288" s="3">
        <v>0.25</v>
      </c>
      <c r="G288" s="4">
        <v>0.75</v>
      </c>
      <c r="H288" s="5" t="s">
        <v>19</v>
      </c>
      <c r="I288" t="s">
        <v>26</v>
      </c>
      <c r="J288" t="s">
        <v>24</v>
      </c>
      <c r="K288" t="s">
        <v>39</v>
      </c>
      <c r="L288" t="s">
        <v>43</v>
      </c>
      <c r="M288" t="s">
        <v>24</v>
      </c>
      <c r="N288">
        <f>IF(Table1[[#This Row],[Akhir]]&lt;Table1[[#This Row],[Awal]],(Table1[[#This Row],[Akhir]]+1)-Table1[[#This Row],[Awal]],Table1[[#This Row],[Akhir]]-Table1[[#This Row],[Awal]])*24</f>
        <v>12</v>
      </c>
      <c r="O288" t="str">
        <f>IF(Table1[[#This Row],[Duration Real]]&gt;=6,"Major",
IF(Table1[[#This Row],[Duration Real]]&gt;=2,"Medium","Minor"))</f>
        <v>Major</v>
      </c>
    </row>
    <row r="289" spans="1:15" x14ac:dyDescent="0.35">
      <c r="A289" s="2">
        <v>46152</v>
      </c>
      <c r="B289" t="s">
        <v>15</v>
      </c>
      <c r="C289" t="s">
        <v>41</v>
      </c>
      <c r="D289" t="s">
        <v>42</v>
      </c>
      <c r="E289" t="s">
        <v>34</v>
      </c>
      <c r="F289" s="3">
        <v>0.75</v>
      </c>
      <c r="G289" s="4">
        <v>0.25</v>
      </c>
      <c r="H289" s="5" t="s">
        <v>19</v>
      </c>
      <c r="I289" t="s">
        <v>20</v>
      </c>
      <c r="J289" t="s">
        <v>24</v>
      </c>
      <c r="K289" t="s">
        <v>39</v>
      </c>
      <c r="L289" t="s">
        <v>43</v>
      </c>
      <c r="M289" t="s">
        <v>24</v>
      </c>
      <c r="N289">
        <f>IF(Table1[[#This Row],[Akhir]]&lt;Table1[[#This Row],[Awal]],(Table1[[#This Row],[Akhir]]+1)-Table1[[#This Row],[Awal]],Table1[[#This Row],[Akhir]]-Table1[[#This Row],[Awal]])*24</f>
        <v>12</v>
      </c>
      <c r="O289" t="str">
        <f>IF(Table1[[#This Row],[Duration Real]]&gt;=6,"Major",
IF(Table1[[#This Row],[Duration Real]]&gt;=2,"Medium","Minor"))</f>
        <v>Major</v>
      </c>
    </row>
    <row r="290" spans="1:15" x14ac:dyDescent="0.35">
      <c r="A290" s="2">
        <v>46152</v>
      </c>
      <c r="B290" t="s">
        <v>15</v>
      </c>
      <c r="C290" t="s">
        <v>44</v>
      </c>
      <c r="D290" t="s">
        <v>45</v>
      </c>
      <c r="E290" t="s">
        <v>34</v>
      </c>
      <c r="F290" s="3">
        <v>0.25</v>
      </c>
      <c r="G290" s="4">
        <v>0.75</v>
      </c>
      <c r="H290" s="5" t="s">
        <v>19</v>
      </c>
      <c r="I290" t="s">
        <v>26</v>
      </c>
      <c r="J290" t="s">
        <v>24</v>
      </c>
      <c r="K290" t="s">
        <v>46</v>
      </c>
      <c r="L290" t="s">
        <v>47</v>
      </c>
      <c r="M290" t="s">
        <v>24</v>
      </c>
      <c r="N290">
        <f>IF(Table1[[#This Row],[Akhir]]&lt;Table1[[#This Row],[Awal]],(Table1[[#This Row],[Akhir]]+1)-Table1[[#This Row],[Awal]],Table1[[#This Row],[Akhir]]-Table1[[#This Row],[Awal]])*24</f>
        <v>12</v>
      </c>
      <c r="O290" t="str">
        <f>IF(Table1[[#This Row],[Duration Real]]&gt;=6,"Major",
IF(Table1[[#This Row],[Duration Real]]&gt;=2,"Medium","Minor"))</f>
        <v>Major</v>
      </c>
    </row>
    <row r="291" spans="1:15" x14ac:dyDescent="0.35">
      <c r="A291" s="2">
        <v>46152</v>
      </c>
      <c r="B291" t="s">
        <v>15</v>
      </c>
      <c r="C291" t="s">
        <v>44</v>
      </c>
      <c r="D291" t="s">
        <v>45</v>
      </c>
      <c r="E291" t="s">
        <v>34</v>
      </c>
      <c r="F291" s="3">
        <v>0.75</v>
      </c>
      <c r="G291" s="4">
        <v>0.25</v>
      </c>
      <c r="H291" s="5" t="s">
        <v>19</v>
      </c>
      <c r="I291" t="s">
        <v>20</v>
      </c>
      <c r="J291" t="s">
        <v>24</v>
      </c>
      <c r="K291" t="s">
        <v>46</v>
      </c>
      <c r="L291" t="s">
        <v>47</v>
      </c>
      <c r="M291" t="s">
        <v>24</v>
      </c>
      <c r="N291">
        <f>IF(Table1[[#This Row],[Akhir]]&lt;Table1[[#This Row],[Awal]],(Table1[[#This Row],[Akhir]]+1)-Table1[[#This Row],[Awal]],Table1[[#This Row],[Akhir]]-Table1[[#This Row],[Awal]])*24</f>
        <v>12</v>
      </c>
      <c r="O291" t="str">
        <f>IF(Table1[[#This Row],[Duration Real]]&gt;=6,"Major",
IF(Table1[[#This Row],[Duration Real]]&gt;=2,"Medium","Minor"))</f>
        <v>Major</v>
      </c>
    </row>
    <row r="292" spans="1:15" x14ac:dyDescent="0.35">
      <c r="A292" s="2">
        <v>46152</v>
      </c>
      <c r="B292" t="s">
        <v>15</v>
      </c>
      <c r="C292" t="s">
        <v>48</v>
      </c>
      <c r="D292" t="s">
        <v>411</v>
      </c>
      <c r="E292" t="s">
        <v>34</v>
      </c>
      <c r="F292" s="3">
        <v>0.25</v>
      </c>
      <c r="G292" s="4">
        <v>0.75</v>
      </c>
      <c r="H292" s="5" t="s">
        <v>19</v>
      </c>
      <c r="I292" t="s">
        <v>26</v>
      </c>
      <c r="J292" t="s">
        <v>24</v>
      </c>
      <c r="K292" t="s">
        <v>22</v>
      </c>
      <c r="L292" t="s">
        <v>51</v>
      </c>
      <c r="M292" t="s">
        <v>24</v>
      </c>
      <c r="N292">
        <f>IF(Table1[[#This Row],[Akhir]]&lt;Table1[[#This Row],[Awal]],(Table1[[#This Row],[Akhir]]+1)-Table1[[#This Row],[Awal]],Table1[[#This Row],[Akhir]]-Table1[[#This Row],[Awal]])*24</f>
        <v>12</v>
      </c>
      <c r="O292" t="str">
        <f>IF(Table1[[#This Row],[Duration Real]]&gt;=6,"Major",
IF(Table1[[#This Row],[Duration Real]]&gt;=2,"Medium","Minor"))</f>
        <v>Major</v>
      </c>
    </row>
    <row r="293" spans="1:15" x14ac:dyDescent="0.35">
      <c r="A293" s="2">
        <v>46152</v>
      </c>
      <c r="B293" t="s">
        <v>15</v>
      </c>
      <c r="C293" t="s">
        <v>48</v>
      </c>
      <c r="D293" t="s">
        <v>411</v>
      </c>
      <c r="E293" t="s">
        <v>412</v>
      </c>
      <c r="F293" s="3">
        <v>0.75</v>
      </c>
      <c r="G293" s="4">
        <v>0.89652777777777781</v>
      </c>
      <c r="H293" s="5" t="s">
        <v>19</v>
      </c>
      <c r="I293" t="s">
        <v>20</v>
      </c>
      <c r="J293" t="s">
        <v>24</v>
      </c>
      <c r="K293" t="s">
        <v>22</v>
      </c>
      <c r="L293" t="s">
        <v>51</v>
      </c>
      <c r="M293" t="s">
        <v>24</v>
      </c>
      <c r="N293">
        <f>IF(Table1[[#This Row],[Akhir]]&lt;Table1[[#This Row],[Awal]],(Table1[[#This Row],[Akhir]]+1)-Table1[[#This Row],[Awal]],Table1[[#This Row],[Akhir]]-Table1[[#This Row],[Awal]])*24</f>
        <v>3.5166666666666675</v>
      </c>
      <c r="O293" t="str">
        <f>IF(Table1[[#This Row],[Duration Real]]&gt;=6,"Major",
IF(Table1[[#This Row],[Duration Real]]&gt;=2,"Medium","Minor"))</f>
        <v>Medium</v>
      </c>
    </row>
    <row r="294" spans="1:15" x14ac:dyDescent="0.35">
      <c r="A294" s="2">
        <v>46152</v>
      </c>
      <c r="B294" t="s">
        <v>15</v>
      </c>
      <c r="C294" t="s">
        <v>52</v>
      </c>
      <c r="D294" t="s">
        <v>413</v>
      </c>
      <c r="E294" t="s">
        <v>342</v>
      </c>
      <c r="F294" s="3">
        <v>0.78611111111111109</v>
      </c>
      <c r="G294" s="4">
        <v>0.25</v>
      </c>
      <c r="H294" s="5" t="s">
        <v>19</v>
      </c>
      <c r="I294" t="s">
        <v>20</v>
      </c>
      <c r="J294" t="s">
        <v>414</v>
      </c>
      <c r="K294" t="s">
        <v>22</v>
      </c>
      <c r="L294" t="s">
        <v>366</v>
      </c>
      <c r="M294" t="s">
        <v>24</v>
      </c>
      <c r="N294">
        <f>IF(Table1[[#This Row],[Akhir]]&lt;Table1[[#This Row],[Awal]],(Table1[[#This Row],[Akhir]]+1)-Table1[[#This Row],[Awal]],Table1[[#This Row],[Akhir]]-Table1[[#This Row],[Awal]])*24</f>
        <v>11.133333333333333</v>
      </c>
      <c r="O294" t="str">
        <f>IF(Table1[[#This Row],[Duration Real]]&gt;=6,"Major",
IF(Table1[[#This Row],[Duration Real]]&gt;=2,"Medium","Minor"))</f>
        <v>Major</v>
      </c>
    </row>
    <row r="295" spans="1:15" x14ac:dyDescent="0.35">
      <c r="A295" s="2">
        <v>46152</v>
      </c>
      <c r="B295" t="s">
        <v>15</v>
      </c>
      <c r="C295" t="s">
        <v>57</v>
      </c>
      <c r="D295" t="s">
        <v>37</v>
      </c>
      <c r="E295" t="s">
        <v>415</v>
      </c>
      <c r="F295" s="3">
        <v>0.25</v>
      </c>
      <c r="G295" s="4">
        <v>0.42499999999999999</v>
      </c>
      <c r="H295" s="5" t="s">
        <v>19</v>
      </c>
      <c r="I295" t="s">
        <v>26</v>
      </c>
      <c r="J295" t="s">
        <v>24</v>
      </c>
      <c r="K295" t="s">
        <v>22</v>
      </c>
      <c r="L295" t="s">
        <v>266</v>
      </c>
      <c r="M295" t="s">
        <v>24</v>
      </c>
      <c r="N295">
        <f>IF(Table1[[#This Row],[Akhir]]&lt;Table1[[#This Row],[Awal]],(Table1[[#This Row],[Akhir]]+1)-Table1[[#This Row],[Awal]],Table1[[#This Row],[Akhir]]-Table1[[#This Row],[Awal]])*24</f>
        <v>4.1999999999999993</v>
      </c>
      <c r="O295" t="str">
        <f>IF(Table1[[#This Row],[Duration Real]]&gt;=6,"Major",
IF(Table1[[#This Row],[Duration Real]]&gt;=2,"Medium","Minor"))</f>
        <v>Medium</v>
      </c>
    </row>
    <row r="296" spans="1:15" x14ac:dyDescent="0.35">
      <c r="A296" s="2">
        <v>46152</v>
      </c>
      <c r="B296" t="s">
        <v>15</v>
      </c>
      <c r="C296" t="s">
        <v>230</v>
      </c>
      <c r="D296" t="s">
        <v>163</v>
      </c>
      <c r="E296" t="s">
        <v>109</v>
      </c>
      <c r="F296" s="3">
        <v>0.40833333333333333</v>
      </c>
      <c r="G296" s="4">
        <v>0.44374999999999998</v>
      </c>
      <c r="H296" s="5" t="s">
        <v>19</v>
      </c>
      <c r="I296" t="s">
        <v>26</v>
      </c>
      <c r="J296" t="s">
        <v>24</v>
      </c>
      <c r="K296" t="s">
        <v>39</v>
      </c>
      <c r="L296" t="s">
        <v>43</v>
      </c>
      <c r="M296" t="s">
        <v>24</v>
      </c>
      <c r="N296">
        <f>IF(Table1[[#This Row],[Akhir]]&lt;Table1[[#This Row],[Awal]],(Table1[[#This Row],[Akhir]]+1)-Table1[[#This Row],[Awal]],Table1[[#This Row],[Akhir]]-Table1[[#This Row],[Awal]])*24</f>
        <v>0.84999999999999964</v>
      </c>
      <c r="O296" t="str">
        <f>IF(Table1[[#This Row],[Duration Real]]&gt;=6,"Major",
IF(Table1[[#This Row],[Duration Real]]&gt;=2,"Medium","Minor"))</f>
        <v>Minor</v>
      </c>
    </row>
    <row r="297" spans="1:15" x14ac:dyDescent="0.35">
      <c r="A297" s="2">
        <v>46152</v>
      </c>
      <c r="B297" t="s">
        <v>15</v>
      </c>
      <c r="C297" t="s">
        <v>76</v>
      </c>
      <c r="D297" t="s">
        <v>416</v>
      </c>
      <c r="E297" t="s">
        <v>417</v>
      </c>
      <c r="F297" s="3">
        <v>0.75</v>
      </c>
      <c r="G297" s="4">
        <v>0.8</v>
      </c>
      <c r="H297" s="5" t="s">
        <v>19</v>
      </c>
      <c r="I297" t="s">
        <v>20</v>
      </c>
      <c r="J297" t="s">
        <v>418</v>
      </c>
      <c r="K297" t="s">
        <v>22</v>
      </c>
      <c r="L297" t="s">
        <v>84</v>
      </c>
      <c r="M297" t="s">
        <v>24</v>
      </c>
      <c r="N297">
        <f>IF(Table1[[#This Row],[Akhir]]&lt;Table1[[#This Row],[Awal]],(Table1[[#This Row],[Akhir]]+1)-Table1[[#This Row],[Awal]],Table1[[#This Row],[Akhir]]-Table1[[#This Row],[Awal]])*24</f>
        <v>1.2000000000000011</v>
      </c>
      <c r="O297" t="str">
        <f>IF(Table1[[#This Row],[Duration Real]]&gt;=6,"Major",
IF(Table1[[#This Row],[Duration Real]]&gt;=2,"Medium","Minor"))</f>
        <v>Minor</v>
      </c>
    </row>
    <row r="298" spans="1:15" x14ac:dyDescent="0.35">
      <c r="A298" s="2">
        <v>46152</v>
      </c>
      <c r="B298" t="s">
        <v>15</v>
      </c>
      <c r="C298" t="s">
        <v>76</v>
      </c>
      <c r="D298" t="s">
        <v>419</v>
      </c>
      <c r="E298" t="s">
        <v>420</v>
      </c>
      <c r="F298" s="3">
        <v>0.55625000000000002</v>
      </c>
      <c r="G298" s="4">
        <v>0.63541666666666663</v>
      </c>
      <c r="H298" s="5" t="s">
        <v>19</v>
      </c>
      <c r="I298" t="s">
        <v>26</v>
      </c>
      <c r="J298" t="s">
        <v>421</v>
      </c>
      <c r="K298" t="s">
        <v>83</v>
      </c>
      <c r="L298" t="s">
        <v>84</v>
      </c>
      <c r="M298" t="s">
        <v>24</v>
      </c>
      <c r="N298">
        <f>IF(Table1[[#This Row],[Akhir]]&lt;Table1[[#This Row],[Awal]],(Table1[[#This Row],[Akhir]]+1)-Table1[[#This Row],[Awal]],Table1[[#This Row],[Akhir]]-Table1[[#This Row],[Awal]])*24</f>
        <v>1.8999999999999986</v>
      </c>
      <c r="O298" t="str">
        <f>IF(Table1[[#This Row],[Duration Real]]&gt;=6,"Major",
IF(Table1[[#This Row],[Duration Real]]&gt;=2,"Medium","Minor"))</f>
        <v>Minor</v>
      </c>
    </row>
    <row r="299" spans="1:15" x14ac:dyDescent="0.35">
      <c r="A299" s="2">
        <v>46152</v>
      </c>
      <c r="B299" t="s">
        <v>15</v>
      </c>
      <c r="C299" t="s">
        <v>85</v>
      </c>
      <c r="D299" t="s">
        <v>86</v>
      </c>
      <c r="E299" t="s">
        <v>34</v>
      </c>
      <c r="F299" s="3">
        <v>0.25</v>
      </c>
      <c r="G299" s="4">
        <v>0.75</v>
      </c>
      <c r="H299" s="5" t="s">
        <v>19</v>
      </c>
      <c r="I299" t="s">
        <v>26</v>
      </c>
      <c r="J299" t="s">
        <v>24</v>
      </c>
      <c r="K299" t="s">
        <v>22</v>
      </c>
      <c r="L299" t="s">
        <v>87</v>
      </c>
      <c r="M299" t="s">
        <v>24</v>
      </c>
      <c r="N299">
        <f>IF(Table1[[#This Row],[Akhir]]&lt;Table1[[#This Row],[Awal]],(Table1[[#This Row],[Akhir]]+1)-Table1[[#This Row],[Awal]],Table1[[#This Row],[Akhir]]-Table1[[#This Row],[Awal]])*24</f>
        <v>12</v>
      </c>
      <c r="O299" t="str">
        <f>IF(Table1[[#This Row],[Duration Real]]&gt;=6,"Major",
IF(Table1[[#This Row],[Duration Real]]&gt;=2,"Medium","Minor"))</f>
        <v>Major</v>
      </c>
    </row>
    <row r="300" spans="1:15" x14ac:dyDescent="0.35">
      <c r="A300" s="2">
        <v>46152</v>
      </c>
      <c r="B300" t="s">
        <v>15</v>
      </c>
      <c r="C300" t="s">
        <v>85</v>
      </c>
      <c r="D300" t="s">
        <v>86</v>
      </c>
      <c r="E300" t="s">
        <v>34</v>
      </c>
      <c r="F300" s="3">
        <v>0.75</v>
      </c>
      <c r="G300" s="4">
        <v>0.25</v>
      </c>
      <c r="H300" s="5" t="s">
        <v>19</v>
      </c>
      <c r="I300" t="s">
        <v>20</v>
      </c>
      <c r="J300" t="s">
        <v>24</v>
      </c>
      <c r="K300" t="s">
        <v>22</v>
      </c>
      <c r="L300" t="s">
        <v>87</v>
      </c>
      <c r="M300" t="s">
        <v>24</v>
      </c>
      <c r="N300">
        <f>IF(Table1[[#This Row],[Akhir]]&lt;Table1[[#This Row],[Awal]],(Table1[[#This Row],[Akhir]]+1)-Table1[[#This Row],[Awal]],Table1[[#This Row],[Akhir]]-Table1[[#This Row],[Awal]])*24</f>
        <v>12</v>
      </c>
      <c r="O300" t="str">
        <f>IF(Table1[[#This Row],[Duration Real]]&gt;=6,"Major",
IF(Table1[[#This Row],[Duration Real]]&gt;=2,"Medium","Minor"))</f>
        <v>Major</v>
      </c>
    </row>
    <row r="301" spans="1:15" x14ac:dyDescent="0.35">
      <c r="A301" s="2">
        <v>46152</v>
      </c>
      <c r="B301" t="s">
        <v>15</v>
      </c>
      <c r="C301" t="s">
        <v>118</v>
      </c>
      <c r="D301" t="s">
        <v>422</v>
      </c>
      <c r="E301" t="s">
        <v>288</v>
      </c>
      <c r="F301" s="3">
        <v>0.75</v>
      </c>
      <c r="G301" s="4">
        <v>0.77708333333333335</v>
      </c>
      <c r="H301" s="5" t="s">
        <v>19</v>
      </c>
      <c r="I301" t="s">
        <v>20</v>
      </c>
      <c r="J301" t="s">
        <v>423</v>
      </c>
      <c r="K301" t="s">
        <v>22</v>
      </c>
      <c r="L301" t="s">
        <v>424</v>
      </c>
      <c r="M301" t="s">
        <v>24</v>
      </c>
      <c r="N301">
        <f>IF(Table1[[#This Row],[Akhir]]&lt;Table1[[#This Row],[Awal]],(Table1[[#This Row],[Akhir]]+1)-Table1[[#This Row],[Awal]],Table1[[#This Row],[Akhir]]-Table1[[#This Row],[Awal]])*24</f>
        <v>0.65000000000000036</v>
      </c>
      <c r="O301" t="str">
        <f>IF(Table1[[#This Row],[Duration Real]]&gt;=6,"Major",
IF(Table1[[#This Row],[Duration Real]]&gt;=2,"Medium","Minor"))</f>
        <v>Minor</v>
      </c>
    </row>
    <row r="302" spans="1:15" x14ac:dyDescent="0.35">
      <c r="A302" s="2">
        <v>46152</v>
      </c>
      <c r="B302" t="s">
        <v>94</v>
      </c>
      <c r="C302" t="s">
        <v>95</v>
      </c>
      <c r="D302" t="s">
        <v>425</v>
      </c>
      <c r="E302" t="s">
        <v>415</v>
      </c>
      <c r="F302" s="3">
        <v>0.25</v>
      </c>
      <c r="G302" s="4">
        <v>0.42499999999999999</v>
      </c>
      <c r="H302" s="5" t="s">
        <v>19</v>
      </c>
      <c r="I302" t="s">
        <v>26</v>
      </c>
      <c r="J302" t="s">
        <v>24</v>
      </c>
      <c r="K302" t="s">
        <v>22</v>
      </c>
      <c r="L302" t="s">
        <v>298</v>
      </c>
      <c r="M302" t="s">
        <v>24</v>
      </c>
      <c r="N302">
        <f>IF(Table1[[#This Row],[Akhir]]&lt;Table1[[#This Row],[Awal]],(Table1[[#This Row],[Akhir]]+1)-Table1[[#This Row],[Awal]],Table1[[#This Row],[Akhir]]-Table1[[#This Row],[Awal]])*24</f>
        <v>4.1999999999999993</v>
      </c>
      <c r="O302" t="str">
        <f>IF(Table1[[#This Row],[Duration Real]]&gt;=6,"Major",
IF(Table1[[#This Row],[Duration Real]]&gt;=2,"Medium","Minor"))</f>
        <v>Medium</v>
      </c>
    </row>
    <row r="303" spans="1:15" x14ac:dyDescent="0.35">
      <c r="A303" s="2">
        <v>46152</v>
      </c>
      <c r="B303" t="s">
        <v>94</v>
      </c>
      <c r="C303" t="s">
        <v>99</v>
      </c>
      <c r="D303" t="s">
        <v>403</v>
      </c>
      <c r="E303" t="s">
        <v>396</v>
      </c>
      <c r="F303" s="3">
        <v>0.25</v>
      </c>
      <c r="G303" s="4">
        <v>0.3888888888888889</v>
      </c>
      <c r="H303" s="5" t="s">
        <v>19</v>
      </c>
      <c r="I303" t="s">
        <v>26</v>
      </c>
      <c r="J303" t="s">
        <v>24</v>
      </c>
      <c r="K303" t="s">
        <v>22</v>
      </c>
      <c r="L303" t="s">
        <v>298</v>
      </c>
      <c r="M303" t="s">
        <v>24</v>
      </c>
      <c r="N303">
        <f>IF(Table1[[#This Row],[Akhir]]&lt;Table1[[#This Row],[Awal]],(Table1[[#This Row],[Akhir]]+1)-Table1[[#This Row],[Awal]],Table1[[#This Row],[Akhir]]-Table1[[#This Row],[Awal]])*24</f>
        <v>3.3333333333333335</v>
      </c>
      <c r="O303" t="str">
        <f>IF(Table1[[#This Row],[Duration Real]]&gt;=6,"Major",
IF(Table1[[#This Row],[Duration Real]]&gt;=2,"Medium","Minor"))</f>
        <v>Medium</v>
      </c>
    </row>
    <row r="304" spans="1:15" x14ac:dyDescent="0.35">
      <c r="A304" s="2">
        <v>46152</v>
      </c>
      <c r="B304" t="s">
        <v>94</v>
      </c>
      <c r="C304" t="s">
        <v>101</v>
      </c>
      <c r="D304" t="s">
        <v>102</v>
      </c>
      <c r="E304" t="s">
        <v>34</v>
      </c>
      <c r="F304" s="3">
        <v>0.25</v>
      </c>
      <c r="G304" s="4">
        <v>0.75</v>
      </c>
      <c r="H304" s="5" t="s">
        <v>19</v>
      </c>
      <c r="I304" t="s">
        <v>26</v>
      </c>
      <c r="J304" t="s">
        <v>24</v>
      </c>
      <c r="K304" t="s">
        <v>22</v>
      </c>
      <c r="L304" t="s">
        <v>23</v>
      </c>
      <c r="M304" t="s">
        <v>24</v>
      </c>
      <c r="N304">
        <f>IF(Table1[[#This Row],[Akhir]]&lt;Table1[[#This Row],[Awal]],(Table1[[#This Row],[Akhir]]+1)-Table1[[#This Row],[Awal]],Table1[[#This Row],[Akhir]]-Table1[[#This Row],[Awal]])*24</f>
        <v>12</v>
      </c>
      <c r="O304" t="str">
        <f>IF(Table1[[#This Row],[Duration Real]]&gt;=6,"Major",
IF(Table1[[#This Row],[Duration Real]]&gt;=2,"Medium","Minor"))</f>
        <v>Major</v>
      </c>
    </row>
    <row r="305" spans="1:15" x14ac:dyDescent="0.35">
      <c r="A305" s="2">
        <v>46152</v>
      </c>
      <c r="B305" t="s">
        <v>94</v>
      </c>
      <c r="C305" t="s">
        <v>101</v>
      </c>
      <c r="D305" t="s">
        <v>102</v>
      </c>
      <c r="E305" t="s">
        <v>34</v>
      </c>
      <c r="F305" s="3">
        <v>0.75</v>
      </c>
      <c r="G305" s="4">
        <v>0.25</v>
      </c>
      <c r="H305" s="5" t="s">
        <v>19</v>
      </c>
      <c r="I305" t="s">
        <v>20</v>
      </c>
      <c r="J305" t="s">
        <v>24</v>
      </c>
      <c r="K305" t="s">
        <v>22</v>
      </c>
      <c r="L305" t="s">
        <v>23</v>
      </c>
      <c r="M305" t="s">
        <v>24</v>
      </c>
      <c r="N305">
        <f>IF(Table1[[#This Row],[Akhir]]&lt;Table1[[#This Row],[Awal]],(Table1[[#This Row],[Akhir]]+1)-Table1[[#This Row],[Awal]],Table1[[#This Row],[Akhir]]-Table1[[#This Row],[Awal]])*24</f>
        <v>12</v>
      </c>
      <c r="O305" t="str">
        <f>IF(Table1[[#This Row],[Duration Real]]&gt;=6,"Major",
IF(Table1[[#This Row],[Duration Real]]&gt;=2,"Medium","Minor"))</f>
        <v>Major</v>
      </c>
    </row>
    <row r="306" spans="1:15" x14ac:dyDescent="0.35">
      <c r="A306" s="2">
        <v>46153</v>
      </c>
      <c r="B306" t="s">
        <v>15</v>
      </c>
      <c r="C306" t="s">
        <v>16</v>
      </c>
      <c r="D306" t="s">
        <v>313</v>
      </c>
      <c r="E306" t="s">
        <v>281</v>
      </c>
      <c r="F306" s="3">
        <v>0.75</v>
      </c>
      <c r="G306" s="4">
        <v>0.81319444444444444</v>
      </c>
      <c r="H306" s="5" t="s">
        <v>19</v>
      </c>
      <c r="I306" t="s">
        <v>20</v>
      </c>
      <c r="J306" t="s">
        <v>24</v>
      </c>
      <c r="K306" t="s">
        <v>22</v>
      </c>
      <c r="L306" t="s">
        <v>43</v>
      </c>
      <c r="M306" t="s">
        <v>24</v>
      </c>
      <c r="N306">
        <f>IF(Table1[[#This Row],[Akhir]]&lt;Table1[[#This Row],[Awal]],(Table1[[#This Row],[Akhir]]+1)-Table1[[#This Row],[Awal]],Table1[[#This Row],[Akhir]]-Table1[[#This Row],[Awal]])*24</f>
        <v>1.5166666666666666</v>
      </c>
      <c r="O306" t="str">
        <f>IF(Table1[[#This Row],[Duration Real]]&gt;=6,"Major",
IF(Table1[[#This Row],[Duration Real]]&gt;=2,"Medium","Minor"))</f>
        <v>Minor</v>
      </c>
    </row>
    <row r="307" spans="1:15" x14ac:dyDescent="0.35">
      <c r="A307" s="2">
        <v>46153</v>
      </c>
      <c r="B307" t="s">
        <v>15</v>
      </c>
      <c r="C307" t="s">
        <v>28</v>
      </c>
      <c r="D307" t="s">
        <v>170</v>
      </c>
      <c r="E307" t="s">
        <v>339</v>
      </c>
      <c r="F307" s="3">
        <v>0.75</v>
      </c>
      <c r="G307" s="4">
        <v>0.78055555555555556</v>
      </c>
      <c r="H307" s="5" t="s">
        <v>19</v>
      </c>
      <c r="I307" t="s">
        <v>20</v>
      </c>
      <c r="J307" t="s">
        <v>24</v>
      </c>
      <c r="K307" t="s">
        <v>22</v>
      </c>
      <c r="L307" t="s">
        <v>31</v>
      </c>
      <c r="M307" t="s">
        <v>24</v>
      </c>
      <c r="N307">
        <f>IF(Table1[[#This Row],[Akhir]]&lt;Table1[[#This Row],[Awal]],(Table1[[#This Row],[Akhir]]+1)-Table1[[#This Row],[Awal]],Table1[[#This Row],[Akhir]]-Table1[[#This Row],[Awal]])*24</f>
        <v>0.73333333333333339</v>
      </c>
      <c r="O307" t="str">
        <f>IF(Table1[[#This Row],[Duration Real]]&gt;=6,"Major",
IF(Table1[[#This Row],[Duration Real]]&gt;=2,"Medium","Minor"))</f>
        <v>Minor</v>
      </c>
    </row>
    <row r="308" spans="1:15" x14ac:dyDescent="0.35">
      <c r="A308" s="2">
        <v>46153</v>
      </c>
      <c r="B308" t="s">
        <v>15</v>
      </c>
      <c r="C308" t="s">
        <v>28</v>
      </c>
      <c r="D308" t="s">
        <v>426</v>
      </c>
      <c r="E308" t="s">
        <v>125</v>
      </c>
      <c r="F308" s="3">
        <v>0.33263888888888887</v>
      </c>
      <c r="G308" s="4">
        <v>0.35902777777777778</v>
      </c>
      <c r="H308" s="5" t="s">
        <v>19</v>
      </c>
      <c r="I308" t="s">
        <v>26</v>
      </c>
      <c r="J308" t="s">
        <v>24</v>
      </c>
      <c r="K308" t="s">
        <v>39</v>
      </c>
      <c r="L308" t="s">
        <v>427</v>
      </c>
      <c r="M308" t="s">
        <v>24</v>
      </c>
      <c r="N308">
        <f>IF(Table1[[#This Row],[Akhir]]&lt;Table1[[#This Row],[Awal]],(Table1[[#This Row],[Akhir]]+1)-Table1[[#This Row],[Awal]],Table1[[#This Row],[Akhir]]-Table1[[#This Row],[Awal]])*24</f>
        <v>0.63333333333333375</v>
      </c>
      <c r="O308" t="str">
        <f>IF(Table1[[#This Row],[Duration Real]]&gt;=6,"Major",
IF(Table1[[#This Row],[Duration Real]]&gt;=2,"Medium","Minor"))</f>
        <v>Minor</v>
      </c>
    </row>
    <row r="309" spans="1:15" x14ac:dyDescent="0.35">
      <c r="A309" s="2">
        <v>46153</v>
      </c>
      <c r="B309" t="s">
        <v>15</v>
      </c>
      <c r="C309" t="s">
        <v>32</v>
      </c>
      <c r="D309" t="s">
        <v>428</v>
      </c>
      <c r="E309" t="s">
        <v>34</v>
      </c>
      <c r="F309" s="3">
        <v>0.25</v>
      </c>
      <c r="G309" s="4">
        <v>0.75</v>
      </c>
      <c r="H309" s="5" t="s">
        <v>19</v>
      </c>
      <c r="I309" t="s">
        <v>26</v>
      </c>
      <c r="J309" t="s">
        <v>24</v>
      </c>
      <c r="K309" t="s">
        <v>22</v>
      </c>
      <c r="L309" t="s">
        <v>43</v>
      </c>
      <c r="M309" t="s">
        <v>24</v>
      </c>
      <c r="N309">
        <f>IF(Table1[[#This Row],[Akhir]]&lt;Table1[[#This Row],[Awal]],(Table1[[#This Row],[Akhir]]+1)-Table1[[#This Row],[Awal]],Table1[[#This Row],[Akhir]]-Table1[[#This Row],[Awal]])*24</f>
        <v>12</v>
      </c>
      <c r="O309" t="str">
        <f>IF(Table1[[#This Row],[Duration Real]]&gt;=6,"Major",
IF(Table1[[#This Row],[Duration Real]]&gt;=2,"Medium","Minor"))</f>
        <v>Major</v>
      </c>
    </row>
    <row r="310" spans="1:15" x14ac:dyDescent="0.35">
      <c r="A310" s="2">
        <v>46153</v>
      </c>
      <c r="B310" t="s">
        <v>15</v>
      </c>
      <c r="C310" t="s">
        <v>32</v>
      </c>
      <c r="D310" t="s">
        <v>428</v>
      </c>
      <c r="E310" t="s">
        <v>34</v>
      </c>
      <c r="F310" s="3">
        <v>0.75</v>
      </c>
      <c r="G310" s="4">
        <v>0.25</v>
      </c>
      <c r="H310" s="5" t="s">
        <v>19</v>
      </c>
      <c r="I310" t="s">
        <v>20</v>
      </c>
      <c r="J310" t="s">
        <v>24</v>
      </c>
      <c r="K310" t="s">
        <v>22</v>
      </c>
      <c r="L310" t="s">
        <v>43</v>
      </c>
      <c r="M310" t="s">
        <v>24</v>
      </c>
      <c r="N310">
        <f>IF(Table1[[#This Row],[Akhir]]&lt;Table1[[#This Row],[Awal]],(Table1[[#This Row],[Akhir]]+1)-Table1[[#This Row],[Awal]],Table1[[#This Row],[Akhir]]-Table1[[#This Row],[Awal]])*24</f>
        <v>12</v>
      </c>
      <c r="O310" t="str">
        <f>IF(Table1[[#This Row],[Duration Real]]&gt;=6,"Major",
IF(Table1[[#This Row],[Duration Real]]&gt;=2,"Medium","Minor"))</f>
        <v>Major</v>
      </c>
    </row>
    <row r="311" spans="1:15" x14ac:dyDescent="0.35">
      <c r="A311" s="2">
        <v>46153</v>
      </c>
      <c r="B311" t="s">
        <v>15</v>
      </c>
      <c r="C311" t="s">
        <v>36</v>
      </c>
      <c r="D311" t="s">
        <v>429</v>
      </c>
      <c r="E311" t="s">
        <v>430</v>
      </c>
      <c r="F311" s="3">
        <v>0.4152777777777778</v>
      </c>
      <c r="G311" s="4">
        <v>0.42777777777777776</v>
      </c>
      <c r="H311" s="5" t="s">
        <v>19</v>
      </c>
      <c r="I311" t="s">
        <v>26</v>
      </c>
      <c r="J311" t="s">
        <v>431</v>
      </c>
      <c r="K311" t="s">
        <v>46</v>
      </c>
      <c r="L311" t="s">
        <v>70</v>
      </c>
      <c r="M311" t="s">
        <v>24</v>
      </c>
      <c r="N311">
        <f>IF(Table1[[#This Row],[Akhir]]&lt;Table1[[#This Row],[Awal]],(Table1[[#This Row],[Akhir]]+1)-Table1[[#This Row],[Awal]],Table1[[#This Row],[Akhir]]-Table1[[#This Row],[Awal]])*24</f>
        <v>0.29999999999999893</v>
      </c>
      <c r="O311" t="str">
        <f>IF(Table1[[#This Row],[Duration Real]]&gt;=6,"Major",
IF(Table1[[#This Row],[Duration Real]]&gt;=2,"Medium","Minor"))</f>
        <v>Minor</v>
      </c>
    </row>
    <row r="312" spans="1:15" x14ac:dyDescent="0.35">
      <c r="A312" s="2">
        <v>46153</v>
      </c>
      <c r="B312" t="s">
        <v>15</v>
      </c>
      <c r="C312" t="s">
        <v>36</v>
      </c>
      <c r="D312" t="s">
        <v>432</v>
      </c>
      <c r="E312" t="s">
        <v>433</v>
      </c>
      <c r="F312" s="3">
        <v>0.1423611111111111</v>
      </c>
      <c r="G312" s="4">
        <v>0.25</v>
      </c>
      <c r="H312" s="5" t="s">
        <v>19</v>
      </c>
      <c r="I312" t="s">
        <v>20</v>
      </c>
      <c r="J312" t="s">
        <v>24</v>
      </c>
      <c r="K312" t="s">
        <v>46</v>
      </c>
      <c r="L312" t="s">
        <v>434</v>
      </c>
      <c r="M312" t="s">
        <v>24</v>
      </c>
      <c r="N312">
        <f>IF(Table1[[#This Row],[Akhir]]&lt;Table1[[#This Row],[Awal]],(Table1[[#This Row],[Akhir]]+1)-Table1[[#This Row],[Awal]],Table1[[#This Row],[Akhir]]-Table1[[#This Row],[Awal]])*24</f>
        <v>2.5833333333333335</v>
      </c>
      <c r="O312" t="str">
        <f>IF(Table1[[#This Row],[Duration Real]]&gt;=6,"Major",
IF(Table1[[#This Row],[Duration Real]]&gt;=2,"Medium","Minor"))</f>
        <v>Medium</v>
      </c>
    </row>
    <row r="313" spans="1:15" x14ac:dyDescent="0.35">
      <c r="A313" s="2">
        <v>46153</v>
      </c>
      <c r="B313" t="s">
        <v>15</v>
      </c>
      <c r="C313" t="s">
        <v>41</v>
      </c>
      <c r="D313" t="s">
        <v>435</v>
      </c>
      <c r="E313" t="s">
        <v>34</v>
      </c>
      <c r="F313" s="3">
        <v>0.25</v>
      </c>
      <c r="G313" s="4">
        <v>0.75</v>
      </c>
      <c r="H313" s="5" t="s">
        <v>19</v>
      </c>
      <c r="I313" t="s">
        <v>26</v>
      </c>
      <c r="J313" t="s">
        <v>24</v>
      </c>
      <c r="K313" t="s">
        <v>39</v>
      </c>
      <c r="L313" t="s">
        <v>43</v>
      </c>
      <c r="M313" t="s">
        <v>24</v>
      </c>
      <c r="N313">
        <f>IF(Table1[[#This Row],[Akhir]]&lt;Table1[[#This Row],[Awal]],(Table1[[#This Row],[Akhir]]+1)-Table1[[#This Row],[Awal]],Table1[[#This Row],[Akhir]]-Table1[[#This Row],[Awal]])*24</f>
        <v>12</v>
      </c>
      <c r="O313" t="str">
        <f>IF(Table1[[#This Row],[Duration Real]]&gt;=6,"Major",
IF(Table1[[#This Row],[Duration Real]]&gt;=2,"Medium","Minor"))</f>
        <v>Major</v>
      </c>
    </row>
    <row r="314" spans="1:15" x14ac:dyDescent="0.35">
      <c r="A314" s="2">
        <v>46153</v>
      </c>
      <c r="B314" t="s">
        <v>15</v>
      </c>
      <c r="C314" t="s">
        <v>41</v>
      </c>
      <c r="D314" t="s">
        <v>435</v>
      </c>
      <c r="E314" t="s">
        <v>34</v>
      </c>
      <c r="F314" s="3">
        <v>0.75</v>
      </c>
      <c r="G314" s="4">
        <v>0.25</v>
      </c>
      <c r="H314" s="5" t="s">
        <v>19</v>
      </c>
      <c r="I314" t="s">
        <v>20</v>
      </c>
      <c r="J314" t="s">
        <v>24</v>
      </c>
      <c r="K314" t="s">
        <v>39</v>
      </c>
      <c r="L314" t="s">
        <v>43</v>
      </c>
      <c r="M314" t="s">
        <v>24</v>
      </c>
      <c r="N314">
        <f>IF(Table1[[#This Row],[Akhir]]&lt;Table1[[#This Row],[Awal]],(Table1[[#This Row],[Akhir]]+1)-Table1[[#This Row],[Awal]],Table1[[#This Row],[Akhir]]-Table1[[#This Row],[Awal]])*24</f>
        <v>12</v>
      </c>
      <c r="O314" t="str">
        <f>IF(Table1[[#This Row],[Duration Real]]&gt;=6,"Major",
IF(Table1[[#This Row],[Duration Real]]&gt;=2,"Medium","Minor"))</f>
        <v>Major</v>
      </c>
    </row>
    <row r="315" spans="1:15" x14ac:dyDescent="0.35">
      <c r="A315" s="2">
        <v>46153</v>
      </c>
      <c r="B315" t="s">
        <v>15</v>
      </c>
      <c r="C315" t="s">
        <v>44</v>
      </c>
      <c r="D315" t="s">
        <v>45</v>
      </c>
      <c r="E315" t="s">
        <v>34</v>
      </c>
      <c r="F315" s="3">
        <v>0.25</v>
      </c>
      <c r="G315" s="4">
        <v>0.75</v>
      </c>
      <c r="H315" s="5" t="s">
        <v>19</v>
      </c>
      <c r="I315" t="s">
        <v>26</v>
      </c>
      <c r="J315" t="s">
        <v>24</v>
      </c>
      <c r="K315" t="s">
        <v>46</v>
      </c>
      <c r="L315" t="s">
        <v>47</v>
      </c>
      <c r="M315" t="s">
        <v>24</v>
      </c>
      <c r="N315">
        <f>IF(Table1[[#This Row],[Akhir]]&lt;Table1[[#This Row],[Awal]],(Table1[[#This Row],[Akhir]]+1)-Table1[[#This Row],[Awal]],Table1[[#This Row],[Akhir]]-Table1[[#This Row],[Awal]])*24</f>
        <v>12</v>
      </c>
      <c r="O315" t="str">
        <f>IF(Table1[[#This Row],[Duration Real]]&gt;=6,"Major",
IF(Table1[[#This Row],[Duration Real]]&gt;=2,"Medium","Minor"))</f>
        <v>Major</v>
      </c>
    </row>
    <row r="316" spans="1:15" x14ac:dyDescent="0.35">
      <c r="A316" s="2">
        <v>46153</v>
      </c>
      <c r="B316" t="s">
        <v>15</v>
      </c>
      <c r="C316" t="s">
        <v>44</v>
      </c>
      <c r="D316" t="s">
        <v>45</v>
      </c>
      <c r="E316" t="s">
        <v>34</v>
      </c>
      <c r="F316" s="3">
        <v>0.75</v>
      </c>
      <c r="G316" s="4">
        <v>0.25</v>
      </c>
      <c r="H316" s="5" t="s">
        <v>19</v>
      </c>
      <c r="I316" t="s">
        <v>20</v>
      </c>
      <c r="J316" t="s">
        <v>24</v>
      </c>
      <c r="K316" t="s">
        <v>46</v>
      </c>
      <c r="L316" t="s">
        <v>47</v>
      </c>
      <c r="M316" t="s">
        <v>24</v>
      </c>
      <c r="N316">
        <f>IF(Table1[[#This Row],[Akhir]]&lt;Table1[[#This Row],[Awal]],(Table1[[#This Row],[Akhir]]+1)-Table1[[#This Row],[Awal]],Table1[[#This Row],[Akhir]]-Table1[[#This Row],[Awal]])*24</f>
        <v>12</v>
      </c>
      <c r="O316" t="str">
        <f>IF(Table1[[#This Row],[Duration Real]]&gt;=6,"Major",
IF(Table1[[#This Row],[Duration Real]]&gt;=2,"Medium","Minor"))</f>
        <v>Major</v>
      </c>
    </row>
    <row r="317" spans="1:15" x14ac:dyDescent="0.35">
      <c r="A317" s="2">
        <v>46153</v>
      </c>
      <c r="B317" t="s">
        <v>15</v>
      </c>
      <c r="C317" t="s">
        <v>52</v>
      </c>
      <c r="D317" t="s">
        <v>413</v>
      </c>
      <c r="E317" t="s">
        <v>174</v>
      </c>
      <c r="F317" s="3">
        <v>0.25</v>
      </c>
      <c r="G317" s="4">
        <v>0.37916666666666665</v>
      </c>
      <c r="H317" s="5" t="s">
        <v>19</v>
      </c>
      <c r="I317" t="s">
        <v>26</v>
      </c>
      <c r="J317" t="s">
        <v>414</v>
      </c>
      <c r="K317" t="s">
        <v>39</v>
      </c>
      <c r="L317" t="s">
        <v>366</v>
      </c>
      <c r="M317" t="s">
        <v>24</v>
      </c>
      <c r="N317">
        <f>IF(Table1[[#This Row],[Akhir]]&lt;Table1[[#This Row],[Awal]],(Table1[[#This Row],[Akhir]]+1)-Table1[[#This Row],[Awal]],Table1[[#This Row],[Akhir]]-Table1[[#This Row],[Awal]])*24</f>
        <v>3.0999999999999996</v>
      </c>
      <c r="O317" t="str">
        <f>IF(Table1[[#This Row],[Duration Real]]&gt;=6,"Major",
IF(Table1[[#This Row],[Duration Real]]&gt;=2,"Medium","Minor"))</f>
        <v>Medium</v>
      </c>
    </row>
    <row r="318" spans="1:15" x14ac:dyDescent="0.35">
      <c r="A318" s="2">
        <v>46153</v>
      </c>
      <c r="B318" t="s">
        <v>15</v>
      </c>
      <c r="C318" t="s">
        <v>57</v>
      </c>
      <c r="D318" t="s">
        <v>436</v>
      </c>
      <c r="E318" t="s">
        <v>437</v>
      </c>
      <c r="F318" s="3">
        <v>0.75</v>
      </c>
      <c r="G318" s="4">
        <v>0.86250000000000004</v>
      </c>
      <c r="H318" s="5" t="s">
        <v>19</v>
      </c>
      <c r="I318" t="s">
        <v>20</v>
      </c>
      <c r="J318" t="s">
        <v>24</v>
      </c>
      <c r="K318" t="s">
        <v>22</v>
      </c>
      <c r="L318" t="s">
        <v>31</v>
      </c>
      <c r="M318" t="s">
        <v>24</v>
      </c>
      <c r="N318">
        <f>IF(Table1[[#This Row],[Akhir]]&lt;Table1[[#This Row],[Awal]],(Table1[[#This Row],[Akhir]]+1)-Table1[[#This Row],[Awal]],Table1[[#This Row],[Akhir]]-Table1[[#This Row],[Awal]])*24</f>
        <v>2.7000000000000011</v>
      </c>
      <c r="O318" t="str">
        <f>IF(Table1[[#This Row],[Duration Real]]&gt;=6,"Major",
IF(Table1[[#This Row],[Duration Real]]&gt;=2,"Medium","Minor"))</f>
        <v>Medium</v>
      </c>
    </row>
    <row r="319" spans="1:15" x14ac:dyDescent="0.35">
      <c r="A319" s="2">
        <v>46153</v>
      </c>
      <c r="B319" t="s">
        <v>15</v>
      </c>
      <c r="C319" t="s">
        <v>230</v>
      </c>
      <c r="D319" t="s">
        <v>438</v>
      </c>
      <c r="E319" t="s">
        <v>420</v>
      </c>
      <c r="F319" s="3">
        <v>0.78333333333333333</v>
      </c>
      <c r="G319" s="4">
        <v>0.86250000000000004</v>
      </c>
      <c r="H319" s="5" t="s">
        <v>19</v>
      </c>
      <c r="I319" t="s">
        <v>20</v>
      </c>
      <c r="J319" t="s">
        <v>24</v>
      </c>
      <c r="K319" t="s">
        <v>22</v>
      </c>
      <c r="L319" t="s">
        <v>439</v>
      </c>
      <c r="M319" t="s">
        <v>24</v>
      </c>
      <c r="N319">
        <f>IF(Table1[[#This Row],[Akhir]]&lt;Table1[[#This Row],[Awal]],(Table1[[#This Row],[Akhir]]+1)-Table1[[#This Row],[Awal]],Table1[[#This Row],[Akhir]]-Table1[[#This Row],[Awal]])*24</f>
        <v>1.9000000000000012</v>
      </c>
      <c r="O319" t="str">
        <f>IF(Table1[[#This Row],[Duration Real]]&gt;=6,"Major",
IF(Table1[[#This Row],[Duration Real]]&gt;=2,"Medium","Minor"))</f>
        <v>Minor</v>
      </c>
    </row>
    <row r="320" spans="1:15" x14ac:dyDescent="0.35">
      <c r="A320" s="2">
        <v>46153</v>
      </c>
      <c r="B320" t="s">
        <v>15</v>
      </c>
      <c r="C320" t="s">
        <v>230</v>
      </c>
      <c r="D320" t="s">
        <v>163</v>
      </c>
      <c r="E320" t="s">
        <v>59</v>
      </c>
      <c r="F320" s="3">
        <v>0.94930555555555551</v>
      </c>
      <c r="G320" s="4">
        <v>0.97083333333333333</v>
      </c>
      <c r="H320" s="5" t="s">
        <v>19</v>
      </c>
      <c r="I320" t="s">
        <v>20</v>
      </c>
      <c r="J320" t="s">
        <v>24</v>
      </c>
      <c r="K320" t="s">
        <v>22</v>
      </c>
      <c r="L320" t="s">
        <v>440</v>
      </c>
      <c r="M320" t="s">
        <v>24</v>
      </c>
      <c r="N320">
        <f>IF(Table1[[#This Row],[Akhir]]&lt;Table1[[#This Row],[Awal]],(Table1[[#This Row],[Akhir]]+1)-Table1[[#This Row],[Awal]],Table1[[#This Row],[Akhir]]-Table1[[#This Row],[Awal]])*24</f>
        <v>0.5166666666666675</v>
      </c>
      <c r="O320" t="str">
        <f>IF(Table1[[#This Row],[Duration Real]]&gt;=6,"Major",
IF(Table1[[#This Row],[Duration Real]]&gt;=2,"Medium","Minor"))</f>
        <v>Minor</v>
      </c>
    </row>
    <row r="321" spans="1:15" x14ac:dyDescent="0.35">
      <c r="A321" s="2">
        <v>46153</v>
      </c>
      <c r="B321" t="s">
        <v>15</v>
      </c>
      <c r="C321" t="s">
        <v>230</v>
      </c>
      <c r="D321" t="s">
        <v>163</v>
      </c>
      <c r="E321" t="s">
        <v>169</v>
      </c>
      <c r="F321" s="3">
        <v>0.11666666666666667</v>
      </c>
      <c r="G321" s="4">
        <v>0.15347222222222223</v>
      </c>
      <c r="H321" s="5" t="s">
        <v>19</v>
      </c>
      <c r="I321" t="s">
        <v>20</v>
      </c>
      <c r="J321" t="s">
        <v>24</v>
      </c>
      <c r="K321" t="s">
        <v>22</v>
      </c>
      <c r="L321" t="s">
        <v>440</v>
      </c>
      <c r="M321" t="s">
        <v>24</v>
      </c>
      <c r="N321">
        <f>IF(Table1[[#This Row],[Akhir]]&lt;Table1[[#This Row],[Awal]],(Table1[[#This Row],[Akhir]]+1)-Table1[[#This Row],[Awal]],Table1[[#This Row],[Akhir]]-Table1[[#This Row],[Awal]])*24</f>
        <v>0.88333333333333353</v>
      </c>
      <c r="O321" t="str">
        <f>IF(Table1[[#This Row],[Duration Real]]&gt;=6,"Major",
IF(Table1[[#This Row],[Duration Real]]&gt;=2,"Medium","Minor"))</f>
        <v>Minor</v>
      </c>
    </row>
    <row r="322" spans="1:15" x14ac:dyDescent="0.35">
      <c r="A322" s="2">
        <v>46153</v>
      </c>
      <c r="B322" t="s">
        <v>15</v>
      </c>
      <c r="C322" t="s">
        <v>76</v>
      </c>
      <c r="D322" t="s">
        <v>29</v>
      </c>
      <c r="E322" t="s">
        <v>274</v>
      </c>
      <c r="F322" s="3">
        <v>9.0972222222222218E-2</v>
      </c>
      <c r="G322" s="4">
        <v>0.125</v>
      </c>
      <c r="H322" s="5" t="s">
        <v>19</v>
      </c>
      <c r="I322" t="s">
        <v>20</v>
      </c>
      <c r="J322" t="s">
        <v>24</v>
      </c>
      <c r="K322" t="s">
        <v>83</v>
      </c>
      <c r="L322" t="s">
        <v>134</v>
      </c>
      <c r="M322" t="s">
        <v>24</v>
      </c>
      <c r="N322">
        <f>IF(Table1[[#This Row],[Akhir]]&lt;Table1[[#This Row],[Awal]],(Table1[[#This Row],[Akhir]]+1)-Table1[[#This Row],[Awal]],Table1[[#This Row],[Akhir]]-Table1[[#This Row],[Awal]])*24</f>
        <v>0.81666666666666676</v>
      </c>
      <c r="O322" t="str">
        <f>IF(Table1[[#This Row],[Duration Real]]&gt;=6,"Major",
IF(Table1[[#This Row],[Duration Real]]&gt;=2,"Medium","Minor"))</f>
        <v>Minor</v>
      </c>
    </row>
    <row r="323" spans="1:15" x14ac:dyDescent="0.35">
      <c r="A323" s="2">
        <v>46153</v>
      </c>
      <c r="B323" t="s">
        <v>15</v>
      </c>
      <c r="C323" t="s">
        <v>76</v>
      </c>
      <c r="D323" t="s">
        <v>29</v>
      </c>
      <c r="E323" t="s">
        <v>441</v>
      </c>
      <c r="F323" s="3">
        <v>0.81180555555555556</v>
      </c>
      <c r="G323" s="4">
        <v>0.88541666666666663</v>
      </c>
      <c r="H323" s="5" t="s">
        <v>19</v>
      </c>
      <c r="I323" t="s">
        <v>20</v>
      </c>
      <c r="J323" t="s">
        <v>24</v>
      </c>
      <c r="K323" t="s">
        <v>22</v>
      </c>
      <c r="L323" t="s">
        <v>134</v>
      </c>
      <c r="M323" t="s">
        <v>24</v>
      </c>
      <c r="N323">
        <f>IF(Table1[[#This Row],[Akhir]]&lt;Table1[[#This Row],[Awal]],(Table1[[#This Row],[Akhir]]+1)-Table1[[#This Row],[Awal]],Table1[[#This Row],[Akhir]]-Table1[[#This Row],[Awal]])*24</f>
        <v>1.7666666666666657</v>
      </c>
      <c r="O323" t="str">
        <f>IF(Table1[[#This Row],[Duration Real]]&gt;=6,"Major",
IF(Table1[[#This Row],[Duration Real]]&gt;=2,"Medium","Minor"))</f>
        <v>Minor</v>
      </c>
    </row>
    <row r="324" spans="1:15" x14ac:dyDescent="0.35">
      <c r="A324" s="2">
        <v>46153</v>
      </c>
      <c r="B324" t="s">
        <v>15</v>
      </c>
      <c r="C324" t="s">
        <v>76</v>
      </c>
      <c r="D324" t="s">
        <v>29</v>
      </c>
      <c r="E324" t="s">
        <v>420</v>
      </c>
      <c r="F324" s="3">
        <v>0.93888888888888888</v>
      </c>
      <c r="G324" s="4">
        <v>1.8055555555555554E-2</v>
      </c>
      <c r="H324" s="5" t="s">
        <v>19</v>
      </c>
      <c r="I324" t="s">
        <v>20</v>
      </c>
      <c r="J324" t="s">
        <v>24</v>
      </c>
      <c r="K324" t="s">
        <v>22</v>
      </c>
      <c r="L324" t="s">
        <v>134</v>
      </c>
      <c r="M324" t="s">
        <v>24</v>
      </c>
      <c r="N324">
        <f>IF(Table1[[#This Row],[Akhir]]&lt;Table1[[#This Row],[Awal]],(Table1[[#This Row],[Akhir]]+1)-Table1[[#This Row],[Awal]],Table1[[#This Row],[Akhir]]-Table1[[#This Row],[Awal]])*24</f>
        <v>1.8999999999999986</v>
      </c>
      <c r="O324" t="str">
        <f>IF(Table1[[#This Row],[Duration Real]]&gt;=6,"Major",
IF(Table1[[#This Row],[Duration Real]]&gt;=2,"Medium","Minor"))</f>
        <v>Minor</v>
      </c>
    </row>
    <row r="325" spans="1:15" x14ac:dyDescent="0.35">
      <c r="A325" s="2">
        <v>46153</v>
      </c>
      <c r="B325" t="s">
        <v>15</v>
      </c>
      <c r="C325" t="s">
        <v>85</v>
      </c>
      <c r="D325" t="s">
        <v>86</v>
      </c>
      <c r="E325" t="s">
        <v>34</v>
      </c>
      <c r="F325" s="3">
        <v>0.25</v>
      </c>
      <c r="G325" s="4">
        <v>0.75</v>
      </c>
      <c r="H325" s="5" t="s">
        <v>19</v>
      </c>
      <c r="I325" t="s">
        <v>26</v>
      </c>
      <c r="J325" t="s">
        <v>24</v>
      </c>
      <c r="K325" t="s">
        <v>22</v>
      </c>
      <c r="L325" t="s">
        <v>87</v>
      </c>
      <c r="M325" t="s">
        <v>24</v>
      </c>
      <c r="N325">
        <f>IF(Table1[[#This Row],[Akhir]]&lt;Table1[[#This Row],[Awal]],(Table1[[#This Row],[Akhir]]+1)-Table1[[#This Row],[Awal]],Table1[[#This Row],[Akhir]]-Table1[[#This Row],[Awal]])*24</f>
        <v>12</v>
      </c>
      <c r="O325" t="str">
        <f>IF(Table1[[#This Row],[Duration Real]]&gt;=6,"Major",
IF(Table1[[#This Row],[Duration Real]]&gt;=2,"Medium","Minor"))</f>
        <v>Major</v>
      </c>
    </row>
    <row r="326" spans="1:15" x14ac:dyDescent="0.35">
      <c r="A326" s="2">
        <v>46153</v>
      </c>
      <c r="B326" t="s">
        <v>15</v>
      </c>
      <c r="C326" t="s">
        <v>85</v>
      </c>
      <c r="D326" t="s">
        <v>86</v>
      </c>
      <c r="E326" t="s">
        <v>34</v>
      </c>
      <c r="F326" s="3">
        <v>0.75</v>
      </c>
      <c r="G326" s="4">
        <v>0.25</v>
      </c>
      <c r="H326" s="5" t="s">
        <v>19</v>
      </c>
      <c r="I326" t="s">
        <v>20</v>
      </c>
      <c r="J326" t="s">
        <v>24</v>
      </c>
      <c r="K326" t="s">
        <v>22</v>
      </c>
      <c r="L326" t="s">
        <v>87</v>
      </c>
      <c r="M326" t="s">
        <v>24</v>
      </c>
      <c r="N326">
        <f>IF(Table1[[#This Row],[Akhir]]&lt;Table1[[#This Row],[Awal]],(Table1[[#This Row],[Akhir]]+1)-Table1[[#This Row],[Awal]],Table1[[#This Row],[Akhir]]-Table1[[#This Row],[Awal]])*24</f>
        <v>12</v>
      </c>
      <c r="O326" t="str">
        <f>IF(Table1[[#This Row],[Duration Real]]&gt;=6,"Major",
IF(Table1[[#This Row],[Duration Real]]&gt;=2,"Medium","Minor"))</f>
        <v>Major</v>
      </c>
    </row>
    <row r="327" spans="1:15" x14ac:dyDescent="0.35">
      <c r="A327" s="2">
        <v>46153</v>
      </c>
      <c r="B327" t="s">
        <v>15</v>
      </c>
      <c r="C327" t="s">
        <v>88</v>
      </c>
      <c r="D327" t="s">
        <v>442</v>
      </c>
      <c r="E327" t="s">
        <v>56</v>
      </c>
      <c r="F327" s="3">
        <v>4.1666666666666664E-2</v>
      </c>
      <c r="G327" s="4">
        <v>0.25</v>
      </c>
      <c r="H327" s="5" t="s">
        <v>19</v>
      </c>
      <c r="I327" t="s">
        <v>20</v>
      </c>
      <c r="J327" t="s">
        <v>24</v>
      </c>
      <c r="K327" t="s">
        <v>22</v>
      </c>
      <c r="L327" t="s">
        <v>23</v>
      </c>
      <c r="M327" t="s">
        <v>24</v>
      </c>
      <c r="N327">
        <f>IF(Table1[[#This Row],[Akhir]]&lt;Table1[[#This Row],[Awal]],(Table1[[#This Row],[Akhir]]+1)-Table1[[#This Row],[Awal]],Table1[[#This Row],[Akhir]]-Table1[[#This Row],[Awal]])*24</f>
        <v>5</v>
      </c>
      <c r="O327" t="str">
        <f>IF(Table1[[#This Row],[Duration Real]]&gt;=6,"Major",
IF(Table1[[#This Row],[Duration Real]]&gt;=2,"Medium","Minor"))</f>
        <v>Medium</v>
      </c>
    </row>
    <row r="328" spans="1:15" x14ac:dyDescent="0.35">
      <c r="A328" s="2">
        <v>46153</v>
      </c>
      <c r="B328" t="s">
        <v>94</v>
      </c>
      <c r="C328" t="s">
        <v>95</v>
      </c>
      <c r="D328" t="s">
        <v>190</v>
      </c>
      <c r="E328" t="s">
        <v>288</v>
      </c>
      <c r="F328" s="3">
        <v>0.78611111111111109</v>
      </c>
      <c r="G328" s="4">
        <v>0.81319444444444444</v>
      </c>
      <c r="H328" s="5" t="s">
        <v>19</v>
      </c>
      <c r="I328" t="s">
        <v>20</v>
      </c>
      <c r="J328" t="s">
        <v>24</v>
      </c>
      <c r="K328" t="s">
        <v>22</v>
      </c>
      <c r="L328" t="s">
        <v>143</v>
      </c>
      <c r="M328" t="s">
        <v>24</v>
      </c>
      <c r="N328">
        <f>IF(Table1[[#This Row],[Akhir]]&lt;Table1[[#This Row],[Awal]],(Table1[[#This Row],[Akhir]]+1)-Table1[[#This Row],[Awal]],Table1[[#This Row],[Akhir]]-Table1[[#This Row],[Awal]])*24</f>
        <v>0.65000000000000036</v>
      </c>
      <c r="O328" t="str">
        <f>IF(Table1[[#This Row],[Duration Real]]&gt;=6,"Major",
IF(Table1[[#This Row],[Duration Real]]&gt;=2,"Medium","Minor"))</f>
        <v>Minor</v>
      </c>
    </row>
    <row r="329" spans="1:15" x14ac:dyDescent="0.35">
      <c r="A329" s="2">
        <v>46153</v>
      </c>
      <c r="B329" t="s">
        <v>94</v>
      </c>
      <c r="C329" t="s">
        <v>95</v>
      </c>
      <c r="D329" t="s">
        <v>443</v>
      </c>
      <c r="E329" t="s">
        <v>444</v>
      </c>
      <c r="F329" s="3">
        <v>0.8881944444444444</v>
      </c>
      <c r="G329" s="4">
        <v>0.9555555555555556</v>
      </c>
      <c r="H329" s="5" t="s">
        <v>19</v>
      </c>
      <c r="I329" t="s">
        <v>20</v>
      </c>
      <c r="J329" t="s">
        <v>445</v>
      </c>
      <c r="K329" t="s">
        <v>22</v>
      </c>
      <c r="L329" t="s">
        <v>143</v>
      </c>
      <c r="M329" t="s">
        <v>24</v>
      </c>
      <c r="N329">
        <f>IF(Table1[[#This Row],[Akhir]]&lt;Table1[[#This Row],[Awal]],(Table1[[#This Row],[Akhir]]+1)-Table1[[#This Row],[Awal]],Table1[[#This Row],[Akhir]]-Table1[[#This Row],[Awal]])*24</f>
        <v>1.6166666666666689</v>
      </c>
      <c r="O329" t="str">
        <f>IF(Table1[[#This Row],[Duration Real]]&gt;=6,"Major",
IF(Table1[[#This Row],[Duration Real]]&gt;=2,"Medium","Minor"))</f>
        <v>Minor</v>
      </c>
    </row>
    <row r="330" spans="1:15" x14ac:dyDescent="0.35">
      <c r="A330" s="2">
        <v>46153</v>
      </c>
      <c r="B330" t="s">
        <v>94</v>
      </c>
      <c r="C330" t="s">
        <v>95</v>
      </c>
      <c r="D330" t="s">
        <v>236</v>
      </c>
      <c r="E330" t="s">
        <v>214</v>
      </c>
      <c r="F330" s="3">
        <v>0.48749999999999999</v>
      </c>
      <c r="G330" s="4">
        <v>0.65902777777777777</v>
      </c>
      <c r="H330" s="5" t="s">
        <v>19</v>
      </c>
      <c r="I330" t="s">
        <v>26</v>
      </c>
      <c r="J330" t="s">
        <v>24</v>
      </c>
      <c r="K330" t="s">
        <v>22</v>
      </c>
      <c r="L330" t="s">
        <v>298</v>
      </c>
      <c r="M330" t="s">
        <v>24</v>
      </c>
      <c r="N330">
        <f>IF(Table1[[#This Row],[Akhir]]&lt;Table1[[#This Row],[Awal]],(Table1[[#This Row],[Akhir]]+1)-Table1[[#This Row],[Awal]],Table1[[#This Row],[Akhir]]-Table1[[#This Row],[Awal]])*24</f>
        <v>4.1166666666666671</v>
      </c>
      <c r="O330" t="str">
        <f>IF(Table1[[#This Row],[Duration Real]]&gt;=6,"Major",
IF(Table1[[#This Row],[Duration Real]]&gt;=2,"Medium","Minor"))</f>
        <v>Medium</v>
      </c>
    </row>
    <row r="331" spans="1:15" x14ac:dyDescent="0.35">
      <c r="A331" s="2">
        <v>46153</v>
      </c>
      <c r="B331" t="s">
        <v>94</v>
      </c>
      <c r="C331" t="s">
        <v>99</v>
      </c>
      <c r="D331" t="s">
        <v>446</v>
      </c>
      <c r="E331" t="s">
        <v>34</v>
      </c>
      <c r="F331" s="3">
        <v>0.75</v>
      </c>
      <c r="G331" s="4">
        <v>0.25</v>
      </c>
      <c r="H331" s="5" t="s">
        <v>19</v>
      </c>
      <c r="I331" t="s">
        <v>20</v>
      </c>
      <c r="J331" t="s">
        <v>24</v>
      </c>
      <c r="K331" t="s">
        <v>22</v>
      </c>
      <c r="L331" t="s">
        <v>298</v>
      </c>
      <c r="M331" t="s">
        <v>24</v>
      </c>
      <c r="N331">
        <f>IF(Table1[[#This Row],[Akhir]]&lt;Table1[[#This Row],[Awal]],(Table1[[#This Row],[Akhir]]+1)-Table1[[#This Row],[Awal]],Table1[[#This Row],[Akhir]]-Table1[[#This Row],[Awal]])*24</f>
        <v>12</v>
      </c>
      <c r="O331" t="str">
        <f>IF(Table1[[#This Row],[Duration Real]]&gt;=6,"Major",
IF(Table1[[#This Row],[Duration Real]]&gt;=2,"Medium","Minor"))</f>
        <v>Major</v>
      </c>
    </row>
    <row r="332" spans="1:15" x14ac:dyDescent="0.35">
      <c r="A332" s="2">
        <v>46153</v>
      </c>
      <c r="B332" t="s">
        <v>94</v>
      </c>
      <c r="C332" t="s">
        <v>99</v>
      </c>
      <c r="D332" t="s">
        <v>447</v>
      </c>
      <c r="E332" t="s">
        <v>448</v>
      </c>
      <c r="F332" s="3">
        <v>0.47083333333333333</v>
      </c>
      <c r="G332" s="4">
        <v>0.75</v>
      </c>
      <c r="H332" s="5" t="s">
        <v>19</v>
      </c>
      <c r="I332" t="s">
        <v>26</v>
      </c>
      <c r="J332" t="s">
        <v>24</v>
      </c>
      <c r="K332" t="s">
        <v>22</v>
      </c>
      <c r="L332" t="s">
        <v>298</v>
      </c>
      <c r="M332" t="s">
        <v>24</v>
      </c>
      <c r="N332">
        <f>IF(Table1[[#This Row],[Akhir]]&lt;Table1[[#This Row],[Awal]],(Table1[[#This Row],[Akhir]]+1)-Table1[[#This Row],[Awal]],Table1[[#This Row],[Akhir]]-Table1[[#This Row],[Awal]])*24</f>
        <v>6.7</v>
      </c>
      <c r="O332" t="str">
        <f>IF(Table1[[#This Row],[Duration Real]]&gt;=6,"Major",
IF(Table1[[#This Row],[Duration Real]]&gt;=2,"Medium","Minor"))</f>
        <v>Major</v>
      </c>
    </row>
    <row r="333" spans="1:15" x14ac:dyDescent="0.35">
      <c r="A333" s="2">
        <v>46153</v>
      </c>
      <c r="B333" t="s">
        <v>94</v>
      </c>
      <c r="C333" t="s">
        <v>101</v>
      </c>
      <c r="D333" t="s">
        <v>102</v>
      </c>
      <c r="E333" t="s">
        <v>34</v>
      </c>
      <c r="F333" s="3">
        <v>0.25</v>
      </c>
      <c r="G333" s="4">
        <v>0.75</v>
      </c>
      <c r="H333" s="5" t="s">
        <v>19</v>
      </c>
      <c r="I333" t="s">
        <v>26</v>
      </c>
      <c r="J333" t="s">
        <v>24</v>
      </c>
      <c r="K333" t="s">
        <v>22</v>
      </c>
      <c r="L333" t="s">
        <v>23</v>
      </c>
      <c r="M333" t="s">
        <v>24</v>
      </c>
      <c r="N333">
        <f>IF(Table1[[#This Row],[Akhir]]&lt;Table1[[#This Row],[Awal]],(Table1[[#This Row],[Akhir]]+1)-Table1[[#This Row],[Awal]],Table1[[#This Row],[Akhir]]-Table1[[#This Row],[Awal]])*24</f>
        <v>12</v>
      </c>
      <c r="O333" t="str">
        <f>IF(Table1[[#This Row],[Duration Real]]&gt;=6,"Major",
IF(Table1[[#This Row],[Duration Real]]&gt;=2,"Medium","Minor"))</f>
        <v>Major</v>
      </c>
    </row>
    <row r="334" spans="1:15" x14ac:dyDescent="0.35">
      <c r="A334" s="2">
        <v>46153</v>
      </c>
      <c r="B334" t="s">
        <v>94</v>
      </c>
      <c r="C334" t="s">
        <v>101</v>
      </c>
      <c r="D334" t="s">
        <v>102</v>
      </c>
      <c r="E334" t="s">
        <v>34</v>
      </c>
      <c r="F334" s="3">
        <v>0.75</v>
      </c>
      <c r="G334" s="4">
        <v>0.25</v>
      </c>
      <c r="H334" s="5" t="s">
        <v>19</v>
      </c>
      <c r="I334" t="s">
        <v>20</v>
      </c>
      <c r="J334" t="s">
        <v>24</v>
      </c>
      <c r="K334" t="s">
        <v>22</v>
      </c>
      <c r="L334" t="s">
        <v>23</v>
      </c>
      <c r="M334" t="s">
        <v>24</v>
      </c>
      <c r="N334">
        <f>IF(Table1[[#This Row],[Akhir]]&lt;Table1[[#This Row],[Awal]],(Table1[[#This Row],[Akhir]]+1)-Table1[[#This Row],[Awal]],Table1[[#This Row],[Akhir]]-Table1[[#This Row],[Awal]])*24</f>
        <v>12</v>
      </c>
      <c r="O334" t="str">
        <f>IF(Table1[[#This Row],[Duration Real]]&gt;=6,"Major",
IF(Table1[[#This Row],[Duration Real]]&gt;=2,"Medium","Minor"))</f>
        <v>Major</v>
      </c>
    </row>
    <row r="335" spans="1:15" x14ac:dyDescent="0.35">
      <c r="A335" s="2">
        <v>46154</v>
      </c>
      <c r="B335" t="s">
        <v>15</v>
      </c>
      <c r="C335" t="s">
        <v>16</v>
      </c>
      <c r="D335" t="s">
        <v>449</v>
      </c>
      <c r="E335" t="s">
        <v>450</v>
      </c>
      <c r="F335" s="3">
        <v>0.57499999999999996</v>
      </c>
      <c r="G335" s="4">
        <v>0.59861111111111109</v>
      </c>
      <c r="H335" s="5" t="s">
        <v>19</v>
      </c>
      <c r="I335" t="s">
        <v>26</v>
      </c>
      <c r="J335" t="s">
        <v>24</v>
      </c>
      <c r="K335" t="s">
        <v>22</v>
      </c>
      <c r="L335" t="s">
        <v>451</v>
      </c>
      <c r="M335" t="s">
        <v>24</v>
      </c>
      <c r="N335">
        <f>IF(Table1[[#This Row],[Akhir]]&lt;Table1[[#This Row],[Awal]],(Table1[[#This Row],[Akhir]]+1)-Table1[[#This Row],[Awal]],Table1[[#This Row],[Akhir]]-Table1[[#This Row],[Awal]])*24</f>
        <v>0.56666666666666732</v>
      </c>
      <c r="O335" t="str">
        <f>IF(Table1[[#This Row],[Duration Real]]&gt;=6,"Major",
IF(Table1[[#This Row],[Duration Real]]&gt;=2,"Medium","Minor"))</f>
        <v>Minor</v>
      </c>
    </row>
    <row r="336" spans="1:15" x14ac:dyDescent="0.35">
      <c r="A336" s="2">
        <v>46154</v>
      </c>
      <c r="B336" t="s">
        <v>15</v>
      </c>
      <c r="C336" t="s">
        <v>32</v>
      </c>
      <c r="D336" t="s">
        <v>428</v>
      </c>
      <c r="E336" t="s">
        <v>34</v>
      </c>
      <c r="F336" s="3">
        <v>0.25</v>
      </c>
      <c r="G336" s="4">
        <v>0.75</v>
      </c>
      <c r="H336" s="5" t="s">
        <v>19</v>
      </c>
      <c r="I336" t="s">
        <v>26</v>
      </c>
      <c r="J336" t="s">
        <v>24</v>
      </c>
      <c r="K336" t="s">
        <v>22</v>
      </c>
      <c r="L336" t="s">
        <v>43</v>
      </c>
      <c r="M336" t="s">
        <v>24</v>
      </c>
      <c r="N336">
        <f>IF(Table1[[#This Row],[Akhir]]&lt;Table1[[#This Row],[Awal]],(Table1[[#This Row],[Akhir]]+1)-Table1[[#This Row],[Awal]],Table1[[#This Row],[Akhir]]-Table1[[#This Row],[Awal]])*24</f>
        <v>12</v>
      </c>
      <c r="O336" t="str">
        <f>IF(Table1[[#This Row],[Duration Real]]&gt;=6,"Major",
IF(Table1[[#This Row],[Duration Real]]&gt;=2,"Medium","Minor"))</f>
        <v>Major</v>
      </c>
    </row>
    <row r="337" spans="1:15" x14ac:dyDescent="0.35">
      <c r="A337" s="2">
        <v>46154</v>
      </c>
      <c r="B337" t="s">
        <v>15</v>
      </c>
      <c r="C337" t="s">
        <v>32</v>
      </c>
      <c r="D337" t="s">
        <v>428</v>
      </c>
      <c r="E337" t="s">
        <v>34</v>
      </c>
      <c r="F337" s="3">
        <v>0.75</v>
      </c>
      <c r="G337" s="4">
        <v>0.25</v>
      </c>
      <c r="H337" s="5" t="s">
        <v>19</v>
      </c>
      <c r="I337" t="s">
        <v>20</v>
      </c>
      <c r="J337" t="s">
        <v>24</v>
      </c>
      <c r="K337" t="s">
        <v>22</v>
      </c>
      <c r="L337" t="s">
        <v>43</v>
      </c>
      <c r="M337" t="s">
        <v>24</v>
      </c>
      <c r="N337">
        <f>IF(Table1[[#This Row],[Akhir]]&lt;Table1[[#This Row],[Awal]],(Table1[[#This Row],[Akhir]]+1)-Table1[[#This Row],[Awal]],Table1[[#This Row],[Akhir]]-Table1[[#This Row],[Awal]])*24</f>
        <v>12</v>
      </c>
      <c r="O337" t="str">
        <f>IF(Table1[[#This Row],[Duration Real]]&gt;=6,"Major",
IF(Table1[[#This Row],[Duration Real]]&gt;=2,"Medium","Minor"))</f>
        <v>Major</v>
      </c>
    </row>
    <row r="338" spans="1:15" x14ac:dyDescent="0.35">
      <c r="A338" s="2">
        <v>46154</v>
      </c>
      <c r="B338" t="s">
        <v>15</v>
      </c>
      <c r="C338" t="s">
        <v>36</v>
      </c>
      <c r="D338" t="s">
        <v>452</v>
      </c>
      <c r="E338" t="s">
        <v>125</v>
      </c>
      <c r="F338" s="3">
        <v>0.25</v>
      </c>
      <c r="G338" s="4">
        <v>0.27638888888888891</v>
      </c>
      <c r="H338" s="5" t="s">
        <v>19</v>
      </c>
      <c r="I338" t="s">
        <v>26</v>
      </c>
      <c r="J338" t="s">
        <v>24</v>
      </c>
      <c r="K338" t="s">
        <v>46</v>
      </c>
      <c r="L338" t="s">
        <v>434</v>
      </c>
      <c r="M338" t="s">
        <v>24</v>
      </c>
      <c r="N338">
        <f>IF(Table1[[#This Row],[Akhir]]&lt;Table1[[#This Row],[Awal]],(Table1[[#This Row],[Akhir]]+1)-Table1[[#This Row],[Awal]],Table1[[#This Row],[Akhir]]-Table1[[#This Row],[Awal]])*24</f>
        <v>0.63333333333333375</v>
      </c>
      <c r="O338" t="str">
        <f>IF(Table1[[#This Row],[Duration Real]]&gt;=6,"Major",
IF(Table1[[#This Row],[Duration Real]]&gt;=2,"Medium","Minor"))</f>
        <v>Minor</v>
      </c>
    </row>
    <row r="339" spans="1:15" x14ac:dyDescent="0.35">
      <c r="A339" s="2">
        <v>46154</v>
      </c>
      <c r="B339" t="s">
        <v>15</v>
      </c>
      <c r="C339" t="s">
        <v>36</v>
      </c>
      <c r="D339" t="s">
        <v>432</v>
      </c>
      <c r="E339" t="s">
        <v>384</v>
      </c>
      <c r="F339" s="3">
        <v>0.25</v>
      </c>
      <c r="G339" s="4">
        <v>0.25</v>
      </c>
      <c r="H339" s="5" t="s">
        <v>19</v>
      </c>
      <c r="I339" t="s">
        <v>26</v>
      </c>
      <c r="J339" t="s">
        <v>24</v>
      </c>
      <c r="K339" t="s">
        <v>46</v>
      </c>
      <c r="L339" t="s">
        <v>434</v>
      </c>
      <c r="M339" t="s">
        <v>24</v>
      </c>
      <c r="N339">
        <f>IF(Table1[[#This Row],[Akhir]]&lt;Table1[[#This Row],[Awal]],(Table1[[#This Row],[Akhir]]+1)-Table1[[#This Row],[Awal]],Table1[[#This Row],[Akhir]]-Table1[[#This Row],[Awal]])*24</f>
        <v>0</v>
      </c>
      <c r="O339" t="str">
        <f>IF(Table1[[#This Row],[Duration Real]]&gt;=6,"Major",
IF(Table1[[#This Row],[Duration Real]]&gt;=2,"Medium","Minor"))</f>
        <v>Minor</v>
      </c>
    </row>
    <row r="340" spans="1:15" x14ac:dyDescent="0.35">
      <c r="A340" s="2">
        <v>46154</v>
      </c>
      <c r="B340" t="s">
        <v>15</v>
      </c>
      <c r="C340" t="s">
        <v>41</v>
      </c>
      <c r="D340" t="s">
        <v>435</v>
      </c>
      <c r="E340" t="s">
        <v>34</v>
      </c>
      <c r="F340" s="3">
        <v>0.25</v>
      </c>
      <c r="G340" s="4">
        <v>0.75</v>
      </c>
      <c r="H340" s="5" t="s">
        <v>19</v>
      </c>
      <c r="I340" t="s">
        <v>26</v>
      </c>
      <c r="J340" t="s">
        <v>24</v>
      </c>
      <c r="K340" t="s">
        <v>39</v>
      </c>
      <c r="L340" t="s">
        <v>43</v>
      </c>
      <c r="M340" t="s">
        <v>24</v>
      </c>
      <c r="N340">
        <f>IF(Table1[[#This Row],[Akhir]]&lt;Table1[[#This Row],[Awal]],(Table1[[#This Row],[Akhir]]+1)-Table1[[#This Row],[Awal]],Table1[[#This Row],[Akhir]]-Table1[[#This Row],[Awal]])*24</f>
        <v>12</v>
      </c>
      <c r="O340" t="str">
        <f>IF(Table1[[#This Row],[Duration Real]]&gt;=6,"Major",
IF(Table1[[#This Row],[Duration Real]]&gt;=2,"Medium","Minor"))</f>
        <v>Major</v>
      </c>
    </row>
    <row r="341" spans="1:15" x14ac:dyDescent="0.35">
      <c r="A341" s="2">
        <v>46154</v>
      </c>
      <c r="B341" t="s">
        <v>15</v>
      </c>
      <c r="C341" t="s">
        <v>41</v>
      </c>
      <c r="D341" t="s">
        <v>435</v>
      </c>
      <c r="E341" t="s">
        <v>34</v>
      </c>
      <c r="F341" s="3">
        <v>0.75</v>
      </c>
      <c r="G341" s="4">
        <v>0.25</v>
      </c>
      <c r="H341" s="5" t="s">
        <v>19</v>
      </c>
      <c r="I341" t="s">
        <v>20</v>
      </c>
      <c r="J341" t="s">
        <v>24</v>
      </c>
      <c r="K341" t="s">
        <v>39</v>
      </c>
      <c r="L341" t="s">
        <v>43</v>
      </c>
      <c r="M341" t="s">
        <v>24</v>
      </c>
      <c r="N341">
        <f>IF(Table1[[#This Row],[Akhir]]&lt;Table1[[#This Row],[Awal]],(Table1[[#This Row],[Akhir]]+1)-Table1[[#This Row],[Awal]],Table1[[#This Row],[Akhir]]-Table1[[#This Row],[Awal]])*24</f>
        <v>12</v>
      </c>
      <c r="O341" t="str">
        <f>IF(Table1[[#This Row],[Duration Real]]&gt;=6,"Major",
IF(Table1[[#This Row],[Duration Real]]&gt;=2,"Medium","Minor"))</f>
        <v>Major</v>
      </c>
    </row>
    <row r="342" spans="1:15" x14ac:dyDescent="0.35">
      <c r="A342" s="2">
        <v>46154</v>
      </c>
      <c r="B342" t="s">
        <v>15</v>
      </c>
      <c r="C342" t="s">
        <v>44</v>
      </c>
      <c r="D342" t="s">
        <v>45</v>
      </c>
      <c r="E342" t="s">
        <v>34</v>
      </c>
      <c r="F342" s="3">
        <v>0.25</v>
      </c>
      <c r="G342" s="4">
        <v>0.75</v>
      </c>
      <c r="H342" s="5" t="s">
        <v>19</v>
      </c>
      <c r="I342" t="s">
        <v>26</v>
      </c>
      <c r="J342" t="s">
        <v>24</v>
      </c>
      <c r="K342" t="s">
        <v>46</v>
      </c>
      <c r="L342" t="s">
        <v>47</v>
      </c>
      <c r="M342" t="s">
        <v>24</v>
      </c>
      <c r="N342">
        <f>IF(Table1[[#This Row],[Akhir]]&lt;Table1[[#This Row],[Awal]],(Table1[[#This Row],[Akhir]]+1)-Table1[[#This Row],[Awal]],Table1[[#This Row],[Akhir]]-Table1[[#This Row],[Awal]])*24</f>
        <v>12</v>
      </c>
      <c r="O342" t="str">
        <f>IF(Table1[[#This Row],[Duration Real]]&gt;=6,"Major",
IF(Table1[[#This Row],[Duration Real]]&gt;=2,"Medium","Minor"))</f>
        <v>Major</v>
      </c>
    </row>
    <row r="343" spans="1:15" x14ac:dyDescent="0.35">
      <c r="A343" s="2">
        <v>46154</v>
      </c>
      <c r="B343" t="s">
        <v>15</v>
      </c>
      <c r="C343" t="s">
        <v>44</v>
      </c>
      <c r="D343" t="s">
        <v>45</v>
      </c>
      <c r="E343" t="s">
        <v>34</v>
      </c>
      <c r="F343" s="3">
        <v>0.75</v>
      </c>
      <c r="G343" s="4">
        <v>0.25</v>
      </c>
      <c r="H343" s="5" t="s">
        <v>19</v>
      </c>
      <c r="I343" t="s">
        <v>20</v>
      </c>
      <c r="J343" t="s">
        <v>24</v>
      </c>
      <c r="K343" t="s">
        <v>46</v>
      </c>
      <c r="L343" t="s">
        <v>47</v>
      </c>
      <c r="M343" t="s">
        <v>24</v>
      </c>
      <c r="N343">
        <f>IF(Table1[[#This Row],[Akhir]]&lt;Table1[[#This Row],[Awal]],(Table1[[#This Row],[Akhir]]+1)-Table1[[#This Row],[Awal]],Table1[[#This Row],[Akhir]]-Table1[[#This Row],[Awal]])*24</f>
        <v>12</v>
      </c>
      <c r="O343" t="str">
        <f>IF(Table1[[#This Row],[Duration Real]]&gt;=6,"Major",
IF(Table1[[#This Row],[Duration Real]]&gt;=2,"Medium","Minor"))</f>
        <v>Major</v>
      </c>
    </row>
    <row r="344" spans="1:15" x14ac:dyDescent="0.35">
      <c r="A344" s="2">
        <v>46154</v>
      </c>
      <c r="B344" t="s">
        <v>15</v>
      </c>
      <c r="C344" t="s">
        <v>52</v>
      </c>
      <c r="D344" t="s">
        <v>453</v>
      </c>
      <c r="E344" t="s">
        <v>450</v>
      </c>
      <c r="F344" s="3">
        <v>0.57499999999999996</v>
      </c>
      <c r="G344" s="4">
        <v>0.59861111111111109</v>
      </c>
      <c r="H344" s="5" t="s">
        <v>19</v>
      </c>
      <c r="I344" t="s">
        <v>26</v>
      </c>
      <c r="J344" t="s">
        <v>24</v>
      </c>
      <c r="K344" t="s">
        <v>22</v>
      </c>
      <c r="L344" t="s">
        <v>451</v>
      </c>
      <c r="M344" t="s">
        <v>24</v>
      </c>
      <c r="N344">
        <f>IF(Table1[[#This Row],[Akhir]]&lt;Table1[[#This Row],[Awal]],(Table1[[#This Row],[Akhir]]+1)-Table1[[#This Row],[Awal]],Table1[[#This Row],[Akhir]]-Table1[[#This Row],[Awal]])*24</f>
        <v>0.56666666666666732</v>
      </c>
      <c r="O344" t="str">
        <f>IF(Table1[[#This Row],[Duration Real]]&gt;=6,"Major",
IF(Table1[[#This Row],[Duration Real]]&gt;=2,"Medium","Minor"))</f>
        <v>Minor</v>
      </c>
    </row>
    <row r="345" spans="1:15" x14ac:dyDescent="0.35">
      <c r="A345" s="2">
        <v>46154</v>
      </c>
      <c r="B345" t="s">
        <v>15</v>
      </c>
      <c r="C345" t="s">
        <v>52</v>
      </c>
      <c r="D345" t="s">
        <v>454</v>
      </c>
      <c r="E345" t="s">
        <v>455</v>
      </c>
      <c r="F345" s="3">
        <v>0.97569444444444442</v>
      </c>
      <c r="G345" s="4">
        <v>0.25</v>
      </c>
      <c r="H345" s="5" t="s">
        <v>19</v>
      </c>
      <c r="I345" t="s">
        <v>20</v>
      </c>
      <c r="J345" t="s">
        <v>24</v>
      </c>
      <c r="K345" t="s">
        <v>22</v>
      </c>
      <c r="L345" t="s">
        <v>143</v>
      </c>
      <c r="M345" t="s">
        <v>24</v>
      </c>
      <c r="N345">
        <f>IF(Table1[[#This Row],[Akhir]]&lt;Table1[[#This Row],[Awal]],(Table1[[#This Row],[Akhir]]+1)-Table1[[#This Row],[Awal]],Table1[[#This Row],[Akhir]]-Table1[[#This Row],[Awal]])*24</f>
        <v>6.5833333333333339</v>
      </c>
      <c r="O345" t="str">
        <f>IF(Table1[[#This Row],[Duration Real]]&gt;=6,"Major",
IF(Table1[[#This Row],[Duration Real]]&gt;=2,"Medium","Minor"))</f>
        <v>Major</v>
      </c>
    </row>
    <row r="346" spans="1:15" x14ac:dyDescent="0.35">
      <c r="A346" s="2">
        <v>46154</v>
      </c>
      <c r="B346" t="s">
        <v>15</v>
      </c>
      <c r="C346" t="s">
        <v>57</v>
      </c>
      <c r="D346" t="s">
        <v>190</v>
      </c>
      <c r="E346" t="s">
        <v>54</v>
      </c>
      <c r="F346" s="3">
        <v>0.11944444444444445</v>
      </c>
      <c r="G346" s="4">
        <v>0.1736111111111111</v>
      </c>
      <c r="H346" s="5" t="s">
        <v>19</v>
      </c>
      <c r="I346" t="s">
        <v>20</v>
      </c>
      <c r="J346" t="s">
        <v>24</v>
      </c>
      <c r="K346" t="s">
        <v>22</v>
      </c>
      <c r="L346" t="s">
        <v>130</v>
      </c>
      <c r="M346" t="s">
        <v>24</v>
      </c>
      <c r="N346">
        <f>IF(Table1[[#This Row],[Akhir]]&lt;Table1[[#This Row],[Awal]],(Table1[[#This Row],[Akhir]]+1)-Table1[[#This Row],[Awal]],Table1[[#This Row],[Akhir]]-Table1[[#This Row],[Awal]])*24</f>
        <v>1.2999999999999998</v>
      </c>
      <c r="O346" t="str">
        <f>IF(Table1[[#This Row],[Duration Real]]&gt;=6,"Major",
IF(Table1[[#This Row],[Duration Real]]&gt;=2,"Medium","Minor"))</f>
        <v>Minor</v>
      </c>
    </row>
    <row r="347" spans="1:15" x14ac:dyDescent="0.35">
      <c r="A347" s="2">
        <v>46154</v>
      </c>
      <c r="B347" t="s">
        <v>15</v>
      </c>
      <c r="C347" t="s">
        <v>230</v>
      </c>
      <c r="D347" t="s">
        <v>163</v>
      </c>
      <c r="E347" t="s">
        <v>173</v>
      </c>
      <c r="F347" s="3">
        <v>0.68819444444444444</v>
      </c>
      <c r="G347" s="4">
        <v>0.69374999999999998</v>
      </c>
      <c r="H347" s="5" t="s">
        <v>19</v>
      </c>
      <c r="I347" t="s">
        <v>26</v>
      </c>
      <c r="J347" t="s">
        <v>24</v>
      </c>
      <c r="K347" t="s">
        <v>22</v>
      </c>
      <c r="L347" t="s">
        <v>298</v>
      </c>
      <c r="M347" t="s">
        <v>24</v>
      </c>
      <c r="N347">
        <f>IF(Table1[[#This Row],[Akhir]]&lt;Table1[[#This Row],[Awal]],(Table1[[#This Row],[Akhir]]+1)-Table1[[#This Row],[Awal]],Table1[[#This Row],[Akhir]]-Table1[[#This Row],[Awal]])*24</f>
        <v>0.13333333333333286</v>
      </c>
      <c r="O347" t="str">
        <f>IF(Table1[[#This Row],[Duration Real]]&gt;=6,"Major",
IF(Table1[[#This Row],[Duration Real]]&gt;=2,"Medium","Minor"))</f>
        <v>Minor</v>
      </c>
    </row>
    <row r="348" spans="1:15" x14ac:dyDescent="0.35">
      <c r="A348" s="2">
        <v>46154</v>
      </c>
      <c r="B348" t="s">
        <v>15</v>
      </c>
      <c r="C348" t="s">
        <v>230</v>
      </c>
      <c r="D348" t="s">
        <v>163</v>
      </c>
      <c r="E348" t="s">
        <v>144</v>
      </c>
      <c r="F348" s="3">
        <v>0.43611111111111112</v>
      </c>
      <c r="G348" s="4">
        <v>0.47916666666666669</v>
      </c>
      <c r="H348" s="5" t="s">
        <v>19</v>
      </c>
      <c r="I348" t="s">
        <v>26</v>
      </c>
      <c r="J348" t="s">
        <v>24</v>
      </c>
      <c r="K348" t="s">
        <v>22</v>
      </c>
      <c r="L348" t="s">
        <v>43</v>
      </c>
      <c r="M348" t="s">
        <v>24</v>
      </c>
      <c r="N348">
        <f>IF(Table1[[#This Row],[Akhir]]&lt;Table1[[#This Row],[Awal]],(Table1[[#This Row],[Akhir]]+1)-Table1[[#This Row],[Awal]],Table1[[#This Row],[Akhir]]-Table1[[#This Row],[Awal]])*24</f>
        <v>1.0333333333333337</v>
      </c>
      <c r="O348" t="str">
        <f>IF(Table1[[#This Row],[Duration Real]]&gt;=6,"Major",
IF(Table1[[#This Row],[Duration Real]]&gt;=2,"Medium","Minor"))</f>
        <v>Minor</v>
      </c>
    </row>
    <row r="349" spans="1:15" x14ac:dyDescent="0.35">
      <c r="A349" s="2">
        <v>46154</v>
      </c>
      <c r="B349" t="s">
        <v>15</v>
      </c>
      <c r="C349" t="s">
        <v>230</v>
      </c>
      <c r="D349" t="s">
        <v>163</v>
      </c>
      <c r="E349" t="s">
        <v>456</v>
      </c>
      <c r="F349" s="3">
        <v>0.91805555555555551</v>
      </c>
      <c r="G349" s="4">
        <v>0.97291666666666665</v>
      </c>
      <c r="H349" s="5" t="s">
        <v>19</v>
      </c>
      <c r="I349" t="s">
        <v>20</v>
      </c>
      <c r="J349" t="s">
        <v>24</v>
      </c>
      <c r="K349" t="s">
        <v>22</v>
      </c>
      <c r="L349" t="s">
        <v>143</v>
      </c>
      <c r="M349" t="s">
        <v>24</v>
      </c>
      <c r="N349">
        <f>IF(Table1[[#This Row],[Akhir]]&lt;Table1[[#This Row],[Awal]],(Table1[[#This Row],[Akhir]]+1)-Table1[[#This Row],[Awal]],Table1[[#This Row],[Akhir]]-Table1[[#This Row],[Awal]])*24</f>
        <v>1.3166666666666673</v>
      </c>
      <c r="O349" t="str">
        <f>IF(Table1[[#This Row],[Duration Real]]&gt;=6,"Major",
IF(Table1[[#This Row],[Duration Real]]&gt;=2,"Medium","Minor"))</f>
        <v>Minor</v>
      </c>
    </row>
    <row r="350" spans="1:15" x14ac:dyDescent="0.35">
      <c r="A350" s="2">
        <v>46154</v>
      </c>
      <c r="B350" t="s">
        <v>15</v>
      </c>
      <c r="C350" t="s">
        <v>230</v>
      </c>
      <c r="D350" t="s">
        <v>163</v>
      </c>
      <c r="E350" t="s">
        <v>212</v>
      </c>
      <c r="F350" s="3">
        <v>0.7993055555555556</v>
      </c>
      <c r="G350" s="4">
        <v>0.89583333333333337</v>
      </c>
      <c r="H350" s="5" t="s">
        <v>19</v>
      </c>
      <c r="I350" t="s">
        <v>20</v>
      </c>
      <c r="J350" t="s">
        <v>24</v>
      </c>
      <c r="K350" t="s">
        <v>22</v>
      </c>
      <c r="L350" t="s">
        <v>143</v>
      </c>
      <c r="M350" t="s">
        <v>24</v>
      </c>
      <c r="N350">
        <f>IF(Table1[[#This Row],[Akhir]]&lt;Table1[[#This Row],[Awal]],(Table1[[#This Row],[Akhir]]+1)-Table1[[#This Row],[Awal]],Table1[[#This Row],[Akhir]]-Table1[[#This Row],[Awal]])*24</f>
        <v>2.3166666666666664</v>
      </c>
      <c r="O350" t="str">
        <f>IF(Table1[[#This Row],[Duration Real]]&gt;=6,"Major",
IF(Table1[[#This Row],[Duration Real]]&gt;=2,"Medium","Minor"))</f>
        <v>Medium</v>
      </c>
    </row>
    <row r="351" spans="1:15" x14ac:dyDescent="0.35">
      <c r="A351" s="2">
        <v>46154</v>
      </c>
      <c r="B351" t="s">
        <v>15</v>
      </c>
      <c r="C351" t="s">
        <v>230</v>
      </c>
      <c r="D351" t="s">
        <v>457</v>
      </c>
      <c r="E351" t="s">
        <v>430</v>
      </c>
      <c r="F351" s="3">
        <v>0.75</v>
      </c>
      <c r="G351" s="4">
        <v>0.76249999999999996</v>
      </c>
      <c r="H351" s="5" t="s">
        <v>19</v>
      </c>
      <c r="I351" t="s">
        <v>20</v>
      </c>
      <c r="J351" t="s">
        <v>24</v>
      </c>
      <c r="K351" t="s">
        <v>22</v>
      </c>
      <c r="L351" t="s">
        <v>298</v>
      </c>
      <c r="M351" t="s">
        <v>24</v>
      </c>
      <c r="N351">
        <f>IF(Table1[[#This Row],[Akhir]]&lt;Table1[[#This Row],[Awal]],(Table1[[#This Row],[Akhir]]+1)-Table1[[#This Row],[Awal]],Table1[[#This Row],[Akhir]]-Table1[[#This Row],[Awal]])*24</f>
        <v>0.29999999999999893</v>
      </c>
      <c r="O351" t="str">
        <f>IF(Table1[[#This Row],[Duration Real]]&gt;=6,"Major",
IF(Table1[[#This Row],[Duration Real]]&gt;=2,"Medium","Minor"))</f>
        <v>Minor</v>
      </c>
    </row>
    <row r="352" spans="1:15" x14ac:dyDescent="0.35">
      <c r="A352" s="2">
        <v>46154</v>
      </c>
      <c r="B352" t="s">
        <v>15</v>
      </c>
      <c r="C352" t="s">
        <v>230</v>
      </c>
      <c r="D352" t="s">
        <v>457</v>
      </c>
      <c r="E352" t="s">
        <v>75</v>
      </c>
      <c r="F352" s="3">
        <v>0.71388888888888891</v>
      </c>
      <c r="G352" s="4">
        <v>0.75</v>
      </c>
      <c r="H352" s="5" t="s">
        <v>19</v>
      </c>
      <c r="I352" t="s">
        <v>26</v>
      </c>
      <c r="J352" t="s">
        <v>24</v>
      </c>
      <c r="K352" t="s">
        <v>22</v>
      </c>
      <c r="L352" t="s">
        <v>298</v>
      </c>
      <c r="M352" t="s">
        <v>24</v>
      </c>
      <c r="N352">
        <f>IF(Table1[[#This Row],[Akhir]]&lt;Table1[[#This Row],[Awal]],(Table1[[#This Row],[Akhir]]+1)-Table1[[#This Row],[Awal]],Table1[[#This Row],[Akhir]]-Table1[[#This Row],[Awal]])*24</f>
        <v>0.86666666666666625</v>
      </c>
      <c r="O352" t="str">
        <f>IF(Table1[[#This Row],[Duration Real]]&gt;=6,"Major",
IF(Table1[[#This Row],[Duration Real]]&gt;=2,"Medium","Minor"))</f>
        <v>Minor</v>
      </c>
    </row>
    <row r="353" spans="1:15" x14ac:dyDescent="0.35">
      <c r="A353" s="2">
        <v>46154</v>
      </c>
      <c r="B353" t="s">
        <v>15</v>
      </c>
      <c r="C353" t="s">
        <v>64</v>
      </c>
      <c r="D353" t="s">
        <v>458</v>
      </c>
      <c r="E353" t="s">
        <v>459</v>
      </c>
      <c r="F353" s="3">
        <v>0.37152777777777779</v>
      </c>
      <c r="G353" s="4">
        <v>0.42499999999999999</v>
      </c>
      <c r="H353" s="5" t="s">
        <v>19</v>
      </c>
      <c r="I353" t="s">
        <v>26</v>
      </c>
      <c r="J353" t="s">
        <v>24</v>
      </c>
      <c r="K353" t="s">
        <v>22</v>
      </c>
      <c r="L353" t="s">
        <v>275</v>
      </c>
      <c r="M353" t="s">
        <v>24</v>
      </c>
      <c r="N353">
        <f>IF(Table1[[#This Row],[Akhir]]&lt;Table1[[#This Row],[Awal]],(Table1[[#This Row],[Akhir]]+1)-Table1[[#This Row],[Awal]],Table1[[#This Row],[Akhir]]-Table1[[#This Row],[Awal]])*24</f>
        <v>1.2833333333333328</v>
      </c>
      <c r="O353" t="str">
        <f>IF(Table1[[#This Row],[Duration Real]]&gt;=6,"Major",
IF(Table1[[#This Row],[Duration Real]]&gt;=2,"Medium","Minor"))</f>
        <v>Minor</v>
      </c>
    </row>
    <row r="354" spans="1:15" x14ac:dyDescent="0.35">
      <c r="A354" s="2">
        <v>46154</v>
      </c>
      <c r="B354" t="s">
        <v>15</v>
      </c>
      <c r="C354" t="s">
        <v>64</v>
      </c>
      <c r="D354" t="s">
        <v>460</v>
      </c>
      <c r="E354" t="s">
        <v>461</v>
      </c>
      <c r="F354" s="3">
        <v>0.59444444444444444</v>
      </c>
      <c r="G354" s="4">
        <v>0.60763888888888884</v>
      </c>
      <c r="H354" s="5" t="s">
        <v>19</v>
      </c>
      <c r="I354" t="s">
        <v>26</v>
      </c>
      <c r="J354" t="s">
        <v>24</v>
      </c>
      <c r="K354" t="s">
        <v>22</v>
      </c>
      <c r="L354" t="s">
        <v>462</v>
      </c>
      <c r="M354" t="s">
        <v>24</v>
      </c>
      <c r="N354">
        <f>IF(Table1[[#This Row],[Akhir]]&lt;Table1[[#This Row],[Awal]],(Table1[[#This Row],[Akhir]]+1)-Table1[[#This Row],[Awal]],Table1[[#This Row],[Akhir]]-Table1[[#This Row],[Awal]])*24</f>
        <v>0.31666666666666554</v>
      </c>
      <c r="O354" t="str">
        <f>IF(Table1[[#This Row],[Duration Real]]&gt;=6,"Major",
IF(Table1[[#This Row],[Duration Real]]&gt;=2,"Medium","Minor"))</f>
        <v>Minor</v>
      </c>
    </row>
    <row r="355" spans="1:15" x14ac:dyDescent="0.35">
      <c r="A355" s="2">
        <v>46154</v>
      </c>
      <c r="B355" t="s">
        <v>15</v>
      </c>
      <c r="C355" t="s">
        <v>76</v>
      </c>
      <c r="D355" t="s">
        <v>463</v>
      </c>
      <c r="E355" t="s">
        <v>144</v>
      </c>
      <c r="F355" s="3">
        <v>0.75</v>
      </c>
      <c r="G355" s="4">
        <v>0.79305555555555551</v>
      </c>
      <c r="H355" s="5" t="s">
        <v>19</v>
      </c>
      <c r="I355" t="s">
        <v>20</v>
      </c>
      <c r="J355" t="s">
        <v>24</v>
      </c>
      <c r="K355" t="s">
        <v>22</v>
      </c>
      <c r="L355" t="s">
        <v>134</v>
      </c>
      <c r="M355" t="s">
        <v>24</v>
      </c>
      <c r="N355">
        <f>IF(Table1[[#This Row],[Akhir]]&lt;Table1[[#This Row],[Awal]],(Table1[[#This Row],[Akhir]]+1)-Table1[[#This Row],[Awal]],Table1[[#This Row],[Akhir]]-Table1[[#This Row],[Awal]])*24</f>
        <v>1.0333333333333323</v>
      </c>
      <c r="O355" t="str">
        <f>IF(Table1[[#This Row],[Duration Real]]&gt;=6,"Major",
IF(Table1[[#This Row],[Duration Real]]&gt;=2,"Medium","Minor"))</f>
        <v>Minor</v>
      </c>
    </row>
    <row r="356" spans="1:15" x14ac:dyDescent="0.35">
      <c r="A356" s="2">
        <v>46154</v>
      </c>
      <c r="B356" t="s">
        <v>15</v>
      </c>
      <c r="C356" t="s">
        <v>76</v>
      </c>
      <c r="D356" t="s">
        <v>463</v>
      </c>
      <c r="E356" t="s">
        <v>396</v>
      </c>
      <c r="F356" s="3">
        <v>0.61111111111111116</v>
      </c>
      <c r="G356" s="4">
        <v>0.75</v>
      </c>
      <c r="H356" s="5" t="s">
        <v>19</v>
      </c>
      <c r="I356" t="s">
        <v>26</v>
      </c>
      <c r="J356" t="s">
        <v>24</v>
      </c>
      <c r="K356" t="s">
        <v>22</v>
      </c>
      <c r="L356" t="s">
        <v>134</v>
      </c>
      <c r="M356" t="s">
        <v>24</v>
      </c>
      <c r="N356">
        <f>IF(Table1[[#This Row],[Akhir]]&lt;Table1[[#This Row],[Awal]],(Table1[[#This Row],[Akhir]]+1)-Table1[[#This Row],[Awal]],Table1[[#This Row],[Akhir]]-Table1[[#This Row],[Awal]])*24</f>
        <v>3.3333333333333321</v>
      </c>
      <c r="O356" t="str">
        <f>IF(Table1[[#This Row],[Duration Real]]&gt;=6,"Major",
IF(Table1[[#This Row],[Duration Real]]&gt;=2,"Medium","Minor"))</f>
        <v>Medium</v>
      </c>
    </row>
    <row r="357" spans="1:15" x14ac:dyDescent="0.35">
      <c r="A357" s="2">
        <v>46154</v>
      </c>
      <c r="B357" t="s">
        <v>15</v>
      </c>
      <c r="C357" t="s">
        <v>85</v>
      </c>
      <c r="D357" t="s">
        <v>86</v>
      </c>
      <c r="E357" t="s">
        <v>34</v>
      </c>
      <c r="F357" s="3">
        <v>0.25</v>
      </c>
      <c r="G357" s="4">
        <v>0.75</v>
      </c>
      <c r="H357" s="5" t="s">
        <v>19</v>
      </c>
      <c r="I357" t="s">
        <v>26</v>
      </c>
      <c r="J357" t="s">
        <v>24</v>
      </c>
      <c r="K357" t="s">
        <v>22</v>
      </c>
      <c r="L357" t="s">
        <v>87</v>
      </c>
      <c r="M357" t="s">
        <v>24</v>
      </c>
      <c r="N357">
        <f>IF(Table1[[#This Row],[Akhir]]&lt;Table1[[#This Row],[Awal]],(Table1[[#This Row],[Akhir]]+1)-Table1[[#This Row],[Awal]],Table1[[#This Row],[Akhir]]-Table1[[#This Row],[Awal]])*24</f>
        <v>12</v>
      </c>
      <c r="O357" t="str">
        <f>IF(Table1[[#This Row],[Duration Real]]&gt;=6,"Major",
IF(Table1[[#This Row],[Duration Real]]&gt;=2,"Medium","Minor"))</f>
        <v>Major</v>
      </c>
    </row>
    <row r="358" spans="1:15" x14ac:dyDescent="0.35">
      <c r="A358" s="2">
        <v>46154</v>
      </c>
      <c r="B358" t="s">
        <v>15</v>
      </c>
      <c r="C358" t="s">
        <v>85</v>
      </c>
      <c r="D358" t="s">
        <v>86</v>
      </c>
      <c r="E358" t="s">
        <v>34</v>
      </c>
      <c r="F358" s="3">
        <v>0.75</v>
      </c>
      <c r="G358" s="4">
        <v>0.25</v>
      </c>
      <c r="H358" s="5" t="s">
        <v>19</v>
      </c>
      <c r="I358" t="s">
        <v>20</v>
      </c>
      <c r="J358" t="s">
        <v>24</v>
      </c>
      <c r="K358" t="s">
        <v>22</v>
      </c>
      <c r="L358" t="s">
        <v>87</v>
      </c>
      <c r="M358" t="s">
        <v>24</v>
      </c>
      <c r="N358">
        <f>IF(Table1[[#This Row],[Akhir]]&lt;Table1[[#This Row],[Awal]],(Table1[[#This Row],[Akhir]]+1)-Table1[[#This Row],[Awal]],Table1[[#This Row],[Akhir]]-Table1[[#This Row],[Awal]])*24</f>
        <v>12</v>
      </c>
      <c r="O358" t="str">
        <f>IF(Table1[[#This Row],[Duration Real]]&gt;=6,"Major",
IF(Table1[[#This Row],[Duration Real]]&gt;=2,"Medium","Minor"))</f>
        <v>Major</v>
      </c>
    </row>
    <row r="359" spans="1:15" x14ac:dyDescent="0.35">
      <c r="A359" s="2">
        <v>46154</v>
      </c>
      <c r="B359" t="s">
        <v>15</v>
      </c>
      <c r="C359" t="s">
        <v>88</v>
      </c>
      <c r="D359" t="s">
        <v>442</v>
      </c>
      <c r="E359" t="s">
        <v>34</v>
      </c>
      <c r="F359" s="3">
        <v>0.25</v>
      </c>
      <c r="G359" s="4">
        <v>0.75</v>
      </c>
      <c r="H359" s="5" t="s">
        <v>19</v>
      </c>
      <c r="I359" t="s">
        <v>26</v>
      </c>
      <c r="J359" t="s">
        <v>24</v>
      </c>
      <c r="K359" t="s">
        <v>22</v>
      </c>
      <c r="L359" t="s">
        <v>23</v>
      </c>
      <c r="M359" t="s">
        <v>24</v>
      </c>
      <c r="N359">
        <f>IF(Table1[[#This Row],[Akhir]]&lt;Table1[[#This Row],[Awal]],(Table1[[#This Row],[Akhir]]+1)-Table1[[#This Row],[Awal]],Table1[[#This Row],[Akhir]]-Table1[[#This Row],[Awal]])*24</f>
        <v>12</v>
      </c>
      <c r="O359" t="str">
        <f>IF(Table1[[#This Row],[Duration Real]]&gt;=6,"Major",
IF(Table1[[#This Row],[Duration Real]]&gt;=2,"Medium","Minor"))</f>
        <v>Major</v>
      </c>
    </row>
    <row r="360" spans="1:15" x14ac:dyDescent="0.35">
      <c r="A360" s="2">
        <v>46154</v>
      </c>
      <c r="B360" t="s">
        <v>15</v>
      </c>
      <c r="C360" t="s">
        <v>88</v>
      </c>
      <c r="D360" t="s">
        <v>442</v>
      </c>
      <c r="E360" t="s">
        <v>34</v>
      </c>
      <c r="F360" s="3">
        <v>0.75</v>
      </c>
      <c r="G360" s="4">
        <v>0.25</v>
      </c>
      <c r="H360" s="5" t="s">
        <v>19</v>
      </c>
      <c r="I360" t="s">
        <v>20</v>
      </c>
      <c r="J360" t="s">
        <v>24</v>
      </c>
      <c r="K360" t="s">
        <v>22</v>
      </c>
      <c r="L360" t="s">
        <v>23</v>
      </c>
      <c r="M360" t="s">
        <v>24</v>
      </c>
      <c r="N360">
        <f>IF(Table1[[#This Row],[Akhir]]&lt;Table1[[#This Row],[Awal]],(Table1[[#This Row],[Akhir]]+1)-Table1[[#This Row],[Awal]],Table1[[#This Row],[Akhir]]-Table1[[#This Row],[Awal]])*24</f>
        <v>12</v>
      </c>
      <c r="O360" t="str">
        <f>IF(Table1[[#This Row],[Duration Real]]&gt;=6,"Major",
IF(Table1[[#This Row],[Duration Real]]&gt;=2,"Medium","Minor"))</f>
        <v>Major</v>
      </c>
    </row>
    <row r="361" spans="1:15" x14ac:dyDescent="0.35">
      <c r="A361" s="2">
        <v>46154</v>
      </c>
      <c r="B361" t="s">
        <v>15</v>
      </c>
      <c r="C361" t="s">
        <v>118</v>
      </c>
      <c r="D361" t="s">
        <v>464</v>
      </c>
      <c r="E361" t="s">
        <v>263</v>
      </c>
      <c r="F361" s="3">
        <v>0.34861111111111109</v>
      </c>
      <c r="G361" s="4">
        <v>0.39513888888888887</v>
      </c>
      <c r="H361" s="5" t="s">
        <v>19</v>
      </c>
      <c r="I361" t="s">
        <v>26</v>
      </c>
      <c r="J361" t="s">
        <v>24</v>
      </c>
      <c r="K361" t="s">
        <v>22</v>
      </c>
      <c r="L361" t="s">
        <v>465</v>
      </c>
      <c r="M361" t="s">
        <v>24</v>
      </c>
      <c r="N361">
        <f>IF(Table1[[#This Row],[Akhir]]&lt;Table1[[#This Row],[Awal]],(Table1[[#This Row],[Akhir]]+1)-Table1[[#This Row],[Awal]],Table1[[#This Row],[Akhir]]-Table1[[#This Row],[Awal]])*24</f>
        <v>1.1166666666666667</v>
      </c>
      <c r="O361" t="str">
        <f>IF(Table1[[#This Row],[Duration Real]]&gt;=6,"Major",
IF(Table1[[#This Row],[Duration Real]]&gt;=2,"Medium","Minor"))</f>
        <v>Minor</v>
      </c>
    </row>
    <row r="362" spans="1:15" x14ac:dyDescent="0.35">
      <c r="A362" s="2">
        <v>46154</v>
      </c>
      <c r="B362" t="s">
        <v>15</v>
      </c>
      <c r="C362" t="s">
        <v>118</v>
      </c>
      <c r="D362" t="s">
        <v>466</v>
      </c>
      <c r="E362" t="s">
        <v>467</v>
      </c>
      <c r="F362" s="3">
        <v>0.68333333333333335</v>
      </c>
      <c r="G362" s="4">
        <v>0.75</v>
      </c>
      <c r="H362" s="5" t="s">
        <v>19</v>
      </c>
      <c r="I362" t="s">
        <v>26</v>
      </c>
      <c r="J362" t="s">
        <v>24</v>
      </c>
      <c r="K362" t="s">
        <v>22</v>
      </c>
      <c r="L362" t="s">
        <v>465</v>
      </c>
      <c r="M362" t="s">
        <v>24</v>
      </c>
      <c r="N362">
        <f>IF(Table1[[#This Row],[Akhir]]&lt;Table1[[#This Row],[Awal]],(Table1[[#This Row],[Akhir]]+1)-Table1[[#This Row],[Awal]],Table1[[#This Row],[Akhir]]-Table1[[#This Row],[Awal]])*24</f>
        <v>1.5999999999999996</v>
      </c>
      <c r="O362" t="str">
        <f>IF(Table1[[#This Row],[Duration Real]]&gt;=6,"Major",
IF(Table1[[#This Row],[Duration Real]]&gt;=2,"Medium","Minor"))</f>
        <v>Minor</v>
      </c>
    </row>
    <row r="363" spans="1:15" x14ac:dyDescent="0.35">
      <c r="A363" s="2">
        <v>46154</v>
      </c>
      <c r="B363" t="s">
        <v>15</v>
      </c>
      <c r="C363" t="s">
        <v>118</v>
      </c>
      <c r="D363" t="s">
        <v>466</v>
      </c>
      <c r="E363" t="s">
        <v>468</v>
      </c>
      <c r="F363" s="3">
        <v>0.4152777777777778</v>
      </c>
      <c r="G363" s="4">
        <v>0.57638888888888884</v>
      </c>
      <c r="H363" s="5" t="s">
        <v>19</v>
      </c>
      <c r="I363" t="s">
        <v>26</v>
      </c>
      <c r="J363" t="s">
        <v>24</v>
      </c>
      <c r="K363" t="s">
        <v>22</v>
      </c>
      <c r="L363" t="s">
        <v>465</v>
      </c>
      <c r="M363" t="s">
        <v>24</v>
      </c>
      <c r="N363">
        <f>IF(Table1[[#This Row],[Akhir]]&lt;Table1[[#This Row],[Awal]],(Table1[[#This Row],[Akhir]]+1)-Table1[[#This Row],[Awal]],Table1[[#This Row],[Akhir]]-Table1[[#This Row],[Awal]])*24</f>
        <v>3.8666666666666649</v>
      </c>
      <c r="O363" t="str">
        <f>IF(Table1[[#This Row],[Duration Real]]&gt;=6,"Major",
IF(Table1[[#This Row],[Duration Real]]&gt;=2,"Medium","Minor"))</f>
        <v>Medium</v>
      </c>
    </row>
    <row r="364" spans="1:15" x14ac:dyDescent="0.35">
      <c r="A364" s="2">
        <v>46154</v>
      </c>
      <c r="B364" t="s">
        <v>15</v>
      </c>
      <c r="C364" t="s">
        <v>118</v>
      </c>
      <c r="D364" t="s">
        <v>466</v>
      </c>
      <c r="E364" t="s">
        <v>469</v>
      </c>
      <c r="F364" s="3">
        <v>0.75</v>
      </c>
      <c r="G364" s="4">
        <v>0.9770833333333333</v>
      </c>
      <c r="H364" s="5" t="s">
        <v>19</v>
      </c>
      <c r="I364" t="s">
        <v>20</v>
      </c>
      <c r="J364" t="s">
        <v>24</v>
      </c>
      <c r="K364" t="s">
        <v>22</v>
      </c>
      <c r="L364" t="s">
        <v>465</v>
      </c>
      <c r="M364" t="s">
        <v>24</v>
      </c>
      <c r="N364">
        <f>IF(Table1[[#This Row],[Akhir]]&lt;Table1[[#This Row],[Awal]],(Table1[[#This Row],[Akhir]]+1)-Table1[[#This Row],[Awal]],Table1[[#This Row],[Akhir]]-Table1[[#This Row],[Awal]])*24</f>
        <v>5.4499999999999993</v>
      </c>
      <c r="O364" t="str">
        <f>IF(Table1[[#This Row],[Duration Real]]&gt;=6,"Major",
IF(Table1[[#This Row],[Duration Real]]&gt;=2,"Medium","Minor"))</f>
        <v>Medium</v>
      </c>
    </row>
    <row r="365" spans="1:15" x14ac:dyDescent="0.35">
      <c r="A365" s="2">
        <v>46154</v>
      </c>
      <c r="B365" t="s">
        <v>94</v>
      </c>
      <c r="C365" t="s">
        <v>95</v>
      </c>
      <c r="D365" t="s">
        <v>470</v>
      </c>
      <c r="E365" t="s">
        <v>471</v>
      </c>
      <c r="F365" s="3">
        <v>0.75</v>
      </c>
      <c r="G365" s="4">
        <v>0.96250000000000002</v>
      </c>
      <c r="H365" s="5" t="s">
        <v>19</v>
      </c>
      <c r="I365" t="s">
        <v>20</v>
      </c>
      <c r="J365" t="s">
        <v>24</v>
      </c>
      <c r="K365" t="s">
        <v>22</v>
      </c>
      <c r="L365" t="s">
        <v>143</v>
      </c>
      <c r="M365" t="s">
        <v>24</v>
      </c>
      <c r="N365">
        <f>IF(Table1[[#This Row],[Akhir]]&lt;Table1[[#This Row],[Awal]],(Table1[[#This Row],[Akhir]]+1)-Table1[[#This Row],[Awal]],Table1[[#This Row],[Akhir]]-Table1[[#This Row],[Awal]])*24</f>
        <v>5.1000000000000005</v>
      </c>
      <c r="O365" t="str">
        <f>IF(Table1[[#This Row],[Duration Real]]&gt;=6,"Major",
IF(Table1[[#This Row],[Duration Real]]&gt;=2,"Medium","Minor"))</f>
        <v>Medium</v>
      </c>
    </row>
    <row r="366" spans="1:15" x14ac:dyDescent="0.35">
      <c r="A366" s="2">
        <v>46154</v>
      </c>
      <c r="B366" t="s">
        <v>94</v>
      </c>
      <c r="C366" t="s">
        <v>95</v>
      </c>
      <c r="D366" t="s">
        <v>472</v>
      </c>
      <c r="E366" t="s">
        <v>473</v>
      </c>
      <c r="F366" s="3">
        <v>0.25</v>
      </c>
      <c r="G366" s="4">
        <v>0.32291666666666669</v>
      </c>
      <c r="H366" s="5" t="s">
        <v>19</v>
      </c>
      <c r="I366" t="s">
        <v>26</v>
      </c>
      <c r="J366" t="s">
        <v>24</v>
      </c>
      <c r="K366" t="s">
        <v>22</v>
      </c>
      <c r="L366" t="s">
        <v>298</v>
      </c>
      <c r="M366" t="s">
        <v>24</v>
      </c>
      <c r="N366">
        <f>IF(Table1[[#This Row],[Akhir]]&lt;Table1[[#This Row],[Awal]],(Table1[[#This Row],[Akhir]]+1)-Table1[[#This Row],[Awal]],Table1[[#This Row],[Akhir]]-Table1[[#This Row],[Awal]])*24</f>
        <v>1.7500000000000004</v>
      </c>
      <c r="O366" t="str">
        <f>IF(Table1[[#This Row],[Duration Real]]&gt;=6,"Major",
IF(Table1[[#This Row],[Duration Real]]&gt;=2,"Medium","Minor"))</f>
        <v>Minor</v>
      </c>
    </row>
    <row r="367" spans="1:15" x14ac:dyDescent="0.35">
      <c r="A367" s="2">
        <v>46154</v>
      </c>
      <c r="B367" t="s">
        <v>94</v>
      </c>
      <c r="C367" t="s">
        <v>95</v>
      </c>
      <c r="D367" t="s">
        <v>474</v>
      </c>
      <c r="E367" t="s">
        <v>475</v>
      </c>
      <c r="F367" s="3">
        <v>0.32291666666666669</v>
      </c>
      <c r="G367" s="4">
        <v>0.7104166666666667</v>
      </c>
      <c r="H367" s="5" t="s">
        <v>19</v>
      </c>
      <c r="I367" t="s">
        <v>26</v>
      </c>
      <c r="J367" t="s">
        <v>24</v>
      </c>
      <c r="K367" t="s">
        <v>22</v>
      </c>
      <c r="L367" t="s">
        <v>298</v>
      </c>
      <c r="M367" t="s">
        <v>24</v>
      </c>
      <c r="N367">
        <f>IF(Table1[[#This Row],[Akhir]]&lt;Table1[[#This Row],[Awal]],(Table1[[#This Row],[Akhir]]+1)-Table1[[#This Row],[Awal]],Table1[[#This Row],[Akhir]]-Table1[[#This Row],[Awal]])*24</f>
        <v>9.3000000000000007</v>
      </c>
      <c r="O367" t="str">
        <f>IF(Table1[[#This Row],[Duration Real]]&gt;=6,"Major",
IF(Table1[[#This Row],[Duration Real]]&gt;=2,"Medium","Minor"))</f>
        <v>Major</v>
      </c>
    </row>
    <row r="368" spans="1:15" x14ac:dyDescent="0.35">
      <c r="A368" s="2">
        <v>46154</v>
      </c>
      <c r="B368" t="s">
        <v>94</v>
      </c>
      <c r="C368" t="s">
        <v>99</v>
      </c>
      <c r="D368" t="s">
        <v>476</v>
      </c>
      <c r="E368" t="s">
        <v>34</v>
      </c>
      <c r="F368" s="3">
        <v>0.75</v>
      </c>
      <c r="G368" s="4">
        <v>0.25</v>
      </c>
      <c r="H368" s="5" t="s">
        <v>19</v>
      </c>
      <c r="I368" t="s">
        <v>20</v>
      </c>
      <c r="J368" t="s">
        <v>24</v>
      </c>
      <c r="K368" t="s">
        <v>22</v>
      </c>
      <c r="L368" t="s">
        <v>23</v>
      </c>
      <c r="M368" t="s">
        <v>24</v>
      </c>
      <c r="N368">
        <f>IF(Table1[[#This Row],[Akhir]]&lt;Table1[[#This Row],[Awal]],(Table1[[#This Row],[Akhir]]+1)-Table1[[#This Row],[Awal]],Table1[[#This Row],[Akhir]]-Table1[[#This Row],[Awal]])*24</f>
        <v>12</v>
      </c>
      <c r="O368" t="str">
        <f>IF(Table1[[#This Row],[Duration Real]]&gt;=6,"Major",
IF(Table1[[#This Row],[Duration Real]]&gt;=2,"Medium","Minor"))</f>
        <v>Major</v>
      </c>
    </row>
    <row r="369" spans="1:15" x14ac:dyDescent="0.35">
      <c r="A369" s="2">
        <v>46154</v>
      </c>
      <c r="B369" t="s">
        <v>94</v>
      </c>
      <c r="C369" t="s">
        <v>99</v>
      </c>
      <c r="D369" t="s">
        <v>446</v>
      </c>
      <c r="E369" t="s">
        <v>477</v>
      </c>
      <c r="F369" s="3">
        <v>0.25</v>
      </c>
      <c r="G369" s="4">
        <v>0.70972222222222225</v>
      </c>
      <c r="H369" s="5" t="s">
        <v>19</v>
      </c>
      <c r="I369" t="s">
        <v>26</v>
      </c>
      <c r="J369" t="s">
        <v>24</v>
      </c>
      <c r="K369" t="s">
        <v>22</v>
      </c>
      <c r="L369" t="s">
        <v>298</v>
      </c>
      <c r="M369" t="s">
        <v>24</v>
      </c>
      <c r="N369">
        <f>IF(Table1[[#This Row],[Akhir]]&lt;Table1[[#This Row],[Awal]],(Table1[[#This Row],[Akhir]]+1)-Table1[[#This Row],[Awal]],Table1[[#This Row],[Akhir]]-Table1[[#This Row],[Awal]])*24</f>
        <v>11.033333333333335</v>
      </c>
      <c r="O369" t="str">
        <f>IF(Table1[[#This Row],[Duration Real]]&gt;=6,"Major",
IF(Table1[[#This Row],[Duration Real]]&gt;=2,"Medium","Minor"))</f>
        <v>Major</v>
      </c>
    </row>
    <row r="370" spans="1:15" x14ac:dyDescent="0.35">
      <c r="A370" s="2">
        <v>46154</v>
      </c>
      <c r="B370" t="s">
        <v>94</v>
      </c>
      <c r="C370" t="s">
        <v>204</v>
      </c>
      <c r="D370" t="s">
        <v>208</v>
      </c>
      <c r="E370" t="s">
        <v>212</v>
      </c>
      <c r="F370" s="3">
        <v>6.25E-2</v>
      </c>
      <c r="G370" s="4">
        <v>0.15902777777777777</v>
      </c>
      <c r="H370" s="5" t="s">
        <v>19</v>
      </c>
      <c r="I370" t="s">
        <v>20</v>
      </c>
      <c r="J370" t="s">
        <v>24</v>
      </c>
      <c r="K370" t="s">
        <v>22</v>
      </c>
      <c r="L370" t="s">
        <v>143</v>
      </c>
      <c r="M370" t="s">
        <v>24</v>
      </c>
      <c r="N370">
        <f>IF(Table1[[#This Row],[Akhir]]&lt;Table1[[#This Row],[Awal]],(Table1[[#This Row],[Akhir]]+1)-Table1[[#This Row],[Awal]],Table1[[#This Row],[Akhir]]-Table1[[#This Row],[Awal]])*24</f>
        <v>2.3166666666666664</v>
      </c>
      <c r="O370" t="str">
        <f>IF(Table1[[#This Row],[Duration Real]]&gt;=6,"Major",
IF(Table1[[#This Row],[Duration Real]]&gt;=2,"Medium","Minor"))</f>
        <v>Medium</v>
      </c>
    </row>
    <row r="371" spans="1:15" x14ac:dyDescent="0.35">
      <c r="A371" s="2">
        <v>46154</v>
      </c>
      <c r="B371" t="s">
        <v>94</v>
      </c>
      <c r="C371" t="s">
        <v>101</v>
      </c>
      <c r="D371" t="s">
        <v>102</v>
      </c>
      <c r="E371" t="s">
        <v>34</v>
      </c>
      <c r="F371" s="3">
        <v>0.25</v>
      </c>
      <c r="G371" s="4">
        <v>0.75</v>
      </c>
      <c r="H371" s="5" t="s">
        <v>19</v>
      </c>
      <c r="I371" t="s">
        <v>26</v>
      </c>
      <c r="J371" t="s">
        <v>24</v>
      </c>
      <c r="K371" t="s">
        <v>22</v>
      </c>
      <c r="L371" t="s">
        <v>23</v>
      </c>
      <c r="M371" t="s">
        <v>24</v>
      </c>
      <c r="N371">
        <f>IF(Table1[[#This Row],[Akhir]]&lt;Table1[[#This Row],[Awal]],(Table1[[#This Row],[Akhir]]+1)-Table1[[#This Row],[Awal]],Table1[[#This Row],[Akhir]]-Table1[[#This Row],[Awal]])*24</f>
        <v>12</v>
      </c>
      <c r="O371" t="str">
        <f>IF(Table1[[#This Row],[Duration Real]]&gt;=6,"Major",
IF(Table1[[#This Row],[Duration Real]]&gt;=2,"Medium","Minor"))</f>
        <v>Major</v>
      </c>
    </row>
    <row r="372" spans="1:15" x14ac:dyDescent="0.35">
      <c r="A372" s="2">
        <v>46154</v>
      </c>
      <c r="B372" t="s">
        <v>94</v>
      </c>
      <c r="C372" t="s">
        <v>101</v>
      </c>
      <c r="D372" t="s">
        <v>102</v>
      </c>
      <c r="E372" t="s">
        <v>34</v>
      </c>
      <c r="F372" s="3">
        <v>0.75</v>
      </c>
      <c r="G372" s="4">
        <v>0.25</v>
      </c>
      <c r="H372" s="5" t="s">
        <v>19</v>
      </c>
      <c r="I372" t="s">
        <v>20</v>
      </c>
      <c r="J372" t="s">
        <v>24</v>
      </c>
      <c r="K372" t="s">
        <v>22</v>
      </c>
      <c r="L372" t="s">
        <v>23</v>
      </c>
      <c r="M372" t="s">
        <v>24</v>
      </c>
      <c r="N372">
        <f>IF(Table1[[#This Row],[Akhir]]&lt;Table1[[#This Row],[Awal]],(Table1[[#This Row],[Akhir]]+1)-Table1[[#This Row],[Awal]],Table1[[#This Row],[Akhir]]-Table1[[#This Row],[Awal]])*24</f>
        <v>12</v>
      </c>
      <c r="O372" t="str">
        <f>IF(Table1[[#This Row],[Duration Real]]&gt;=6,"Major",
IF(Table1[[#This Row],[Duration Real]]&gt;=2,"Medium","Minor"))</f>
        <v>Major</v>
      </c>
    </row>
    <row r="373" spans="1:15" x14ac:dyDescent="0.35">
      <c r="A373" s="2">
        <v>46155</v>
      </c>
      <c r="B373" t="s">
        <v>15</v>
      </c>
      <c r="C373" t="s">
        <v>16</v>
      </c>
      <c r="D373" t="s">
        <v>478</v>
      </c>
      <c r="E373" t="s">
        <v>479</v>
      </c>
      <c r="F373" s="3">
        <v>0.8930555555555556</v>
      </c>
      <c r="G373" s="4">
        <v>0.92291666666666672</v>
      </c>
      <c r="H373" s="5" t="s">
        <v>19</v>
      </c>
      <c r="I373" t="s">
        <v>20</v>
      </c>
      <c r="J373" t="s">
        <v>24</v>
      </c>
      <c r="K373" t="s">
        <v>22</v>
      </c>
      <c r="L373" t="s">
        <v>143</v>
      </c>
      <c r="M373" t="s">
        <v>24</v>
      </c>
      <c r="N373">
        <f>IF(Table1[[#This Row],[Akhir]]&lt;Table1[[#This Row],[Awal]],(Table1[[#This Row],[Akhir]]+1)-Table1[[#This Row],[Awal]],Table1[[#This Row],[Akhir]]-Table1[[#This Row],[Awal]])*24</f>
        <v>0.71666666666666679</v>
      </c>
      <c r="O373" t="str">
        <f>IF(Table1[[#This Row],[Duration Real]]&gt;=6,"Major",
IF(Table1[[#This Row],[Duration Real]]&gt;=2,"Medium","Minor"))</f>
        <v>Minor</v>
      </c>
    </row>
    <row r="374" spans="1:15" x14ac:dyDescent="0.35">
      <c r="A374" s="2">
        <v>46155</v>
      </c>
      <c r="B374" t="s">
        <v>15</v>
      </c>
      <c r="C374" t="s">
        <v>28</v>
      </c>
      <c r="D374" t="s">
        <v>170</v>
      </c>
      <c r="E374" t="s">
        <v>274</v>
      </c>
      <c r="F374" s="3">
        <v>0.79374999999999996</v>
      </c>
      <c r="G374" s="4">
        <v>0.82777777777777772</v>
      </c>
      <c r="H374" s="5" t="s">
        <v>19</v>
      </c>
      <c r="I374" t="s">
        <v>20</v>
      </c>
      <c r="J374" t="s">
        <v>24</v>
      </c>
      <c r="K374" t="s">
        <v>22</v>
      </c>
      <c r="L374" t="s">
        <v>143</v>
      </c>
      <c r="M374" t="s">
        <v>24</v>
      </c>
      <c r="N374">
        <f>IF(Table1[[#This Row],[Akhir]]&lt;Table1[[#This Row],[Awal]],(Table1[[#This Row],[Akhir]]+1)-Table1[[#This Row],[Awal]],Table1[[#This Row],[Akhir]]-Table1[[#This Row],[Awal]])*24</f>
        <v>0.81666666666666643</v>
      </c>
      <c r="O374" t="str">
        <f>IF(Table1[[#This Row],[Duration Real]]&gt;=6,"Major",
IF(Table1[[#This Row],[Duration Real]]&gt;=2,"Medium","Minor"))</f>
        <v>Minor</v>
      </c>
    </row>
    <row r="375" spans="1:15" x14ac:dyDescent="0.35">
      <c r="A375" s="2">
        <v>46155</v>
      </c>
      <c r="B375" t="s">
        <v>15</v>
      </c>
      <c r="C375" t="s">
        <v>28</v>
      </c>
      <c r="D375" t="s">
        <v>480</v>
      </c>
      <c r="E375" t="s">
        <v>481</v>
      </c>
      <c r="F375" s="3">
        <v>9.2361111111111116E-2</v>
      </c>
      <c r="G375" s="4">
        <v>0.13958333333333334</v>
      </c>
      <c r="H375" s="5" t="s">
        <v>19</v>
      </c>
      <c r="I375" t="s">
        <v>20</v>
      </c>
      <c r="J375" t="s">
        <v>24</v>
      </c>
      <c r="K375" t="s">
        <v>22</v>
      </c>
      <c r="L375" t="s">
        <v>143</v>
      </c>
      <c r="M375" t="s">
        <v>24</v>
      </c>
      <c r="N375">
        <f>IF(Table1[[#This Row],[Akhir]]&lt;Table1[[#This Row],[Awal]],(Table1[[#This Row],[Akhir]]+1)-Table1[[#This Row],[Awal]],Table1[[#This Row],[Akhir]]-Table1[[#This Row],[Awal]])*24</f>
        <v>1.1333333333333333</v>
      </c>
      <c r="O375" t="str">
        <f>IF(Table1[[#This Row],[Duration Real]]&gt;=6,"Major",
IF(Table1[[#This Row],[Duration Real]]&gt;=2,"Medium","Minor"))</f>
        <v>Minor</v>
      </c>
    </row>
    <row r="376" spans="1:15" x14ac:dyDescent="0.35">
      <c r="A376" s="2">
        <v>46155</v>
      </c>
      <c r="B376" t="s">
        <v>15</v>
      </c>
      <c r="C376" t="s">
        <v>32</v>
      </c>
      <c r="D376" t="s">
        <v>428</v>
      </c>
      <c r="E376" t="s">
        <v>34</v>
      </c>
      <c r="F376" s="3">
        <v>0.25</v>
      </c>
      <c r="G376" s="4">
        <v>0.75</v>
      </c>
      <c r="H376" s="5" t="s">
        <v>19</v>
      </c>
      <c r="I376" t="s">
        <v>26</v>
      </c>
      <c r="J376" t="s">
        <v>24</v>
      </c>
      <c r="K376" t="s">
        <v>22</v>
      </c>
      <c r="L376" t="s">
        <v>43</v>
      </c>
      <c r="M376" t="s">
        <v>24</v>
      </c>
      <c r="N376">
        <f>IF(Table1[[#This Row],[Akhir]]&lt;Table1[[#This Row],[Awal]],(Table1[[#This Row],[Akhir]]+1)-Table1[[#This Row],[Awal]],Table1[[#This Row],[Akhir]]-Table1[[#This Row],[Awal]])*24</f>
        <v>12</v>
      </c>
      <c r="O376" t="str">
        <f>IF(Table1[[#This Row],[Duration Real]]&gt;=6,"Major",
IF(Table1[[#This Row],[Duration Real]]&gt;=2,"Medium","Minor"))</f>
        <v>Major</v>
      </c>
    </row>
    <row r="377" spans="1:15" x14ac:dyDescent="0.35">
      <c r="A377" s="2">
        <v>46155</v>
      </c>
      <c r="B377" t="s">
        <v>15</v>
      </c>
      <c r="C377" t="s">
        <v>32</v>
      </c>
      <c r="D377" t="s">
        <v>428</v>
      </c>
      <c r="E377" t="s">
        <v>34</v>
      </c>
      <c r="F377" s="3">
        <v>0.75</v>
      </c>
      <c r="G377" s="4">
        <v>0.25</v>
      </c>
      <c r="H377" s="5" t="s">
        <v>19</v>
      </c>
      <c r="I377" t="s">
        <v>20</v>
      </c>
      <c r="J377" t="s">
        <v>24</v>
      </c>
      <c r="K377" t="s">
        <v>22</v>
      </c>
      <c r="L377" t="s">
        <v>43</v>
      </c>
      <c r="M377" t="s">
        <v>24</v>
      </c>
      <c r="N377">
        <f>IF(Table1[[#This Row],[Akhir]]&lt;Table1[[#This Row],[Awal]],(Table1[[#This Row],[Akhir]]+1)-Table1[[#This Row],[Awal]],Table1[[#This Row],[Akhir]]-Table1[[#This Row],[Awal]])*24</f>
        <v>12</v>
      </c>
      <c r="O377" t="str">
        <f>IF(Table1[[#This Row],[Duration Real]]&gt;=6,"Major",
IF(Table1[[#This Row],[Duration Real]]&gt;=2,"Medium","Minor"))</f>
        <v>Major</v>
      </c>
    </row>
    <row r="378" spans="1:15" x14ac:dyDescent="0.35">
      <c r="A378" s="2">
        <v>46155</v>
      </c>
      <c r="B378" t="s">
        <v>15</v>
      </c>
      <c r="C378" t="s">
        <v>36</v>
      </c>
      <c r="D378" t="s">
        <v>482</v>
      </c>
      <c r="E378" t="s">
        <v>483</v>
      </c>
      <c r="F378" s="3">
        <v>0.75</v>
      </c>
      <c r="G378" s="4">
        <v>0.87361111111111112</v>
      </c>
      <c r="H378" s="5" t="s">
        <v>19</v>
      </c>
      <c r="I378" t="s">
        <v>20</v>
      </c>
      <c r="J378" t="s">
        <v>24</v>
      </c>
      <c r="K378" t="s">
        <v>22</v>
      </c>
      <c r="L378" t="s">
        <v>73</v>
      </c>
      <c r="M378" t="s">
        <v>24</v>
      </c>
      <c r="N378">
        <f>IF(Table1[[#This Row],[Akhir]]&lt;Table1[[#This Row],[Awal]],(Table1[[#This Row],[Akhir]]+1)-Table1[[#This Row],[Awal]],Table1[[#This Row],[Akhir]]-Table1[[#This Row],[Awal]])*24</f>
        <v>2.9666666666666668</v>
      </c>
      <c r="O378" t="str">
        <f>IF(Table1[[#This Row],[Duration Real]]&gt;=6,"Major",
IF(Table1[[#This Row],[Duration Real]]&gt;=2,"Medium","Minor"))</f>
        <v>Medium</v>
      </c>
    </row>
    <row r="379" spans="1:15" x14ac:dyDescent="0.35">
      <c r="A379" s="2">
        <v>46155</v>
      </c>
      <c r="B379" t="s">
        <v>15</v>
      </c>
      <c r="C379" t="s">
        <v>41</v>
      </c>
      <c r="D379" t="s">
        <v>435</v>
      </c>
      <c r="E379" t="s">
        <v>34</v>
      </c>
      <c r="F379" s="3">
        <v>0.25</v>
      </c>
      <c r="G379" s="4">
        <v>0.75</v>
      </c>
      <c r="H379" s="5" t="s">
        <v>19</v>
      </c>
      <c r="I379" t="s">
        <v>26</v>
      </c>
      <c r="J379" t="s">
        <v>24</v>
      </c>
      <c r="K379" t="s">
        <v>39</v>
      </c>
      <c r="L379" t="s">
        <v>43</v>
      </c>
      <c r="M379" t="s">
        <v>24</v>
      </c>
      <c r="N379">
        <f>IF(Table1[[#This Row],[Akhir]]&lt;Table1[[#This Row],[Awal]],(Table1[[#This Row],[Akhir]]+1)-Table1[[#This Row],[Awal]],Table1[[#This Row],[Akhir]]-Table1[[#This Row],[Awal]])*24</f>
        <v>12</v>
      </c>
      <c r="O379" t="str">
        <f>IF(Table1[[#This Row],[Duration Real]]&gt;=6,"Major",
IF(Table1[[#This Row],[Duration Real]]&gt;=2,"Medium","Minor"))</f>
        <v>Major</v>
      </c>
    </row>
    <row r="380" spans="1:15" x14ac:dyDescent="0.35">
      <c r="A380" s="2">
        <v>46155</v>
      </c>
      <c r="B380" t="s">
        <v>15</v>
      </c>
      <c r="C380" t="s">
        <v>41</v>
      </c>
      <c r="D380" t="s">
        <v>435</v>
      </c>
      <c r="E380" t="s">
        <v>34</v>
      </c>
      <c r="F380" s="3">
        <v>0.75</v>
      </c>
      <c r="G380" s="4">
        <v>0.25</v>
      </c>
      <c r="H380" s="5" t="s">
        <v>19</v>
      </c>
      <c r="I380" t="s">
        <v>20</v>
      </c>
      <c r="J380" t="s">
        <v>24</v>
      </c>
      <c r="K380" t="s">
        <v>39</v>
      </c>
      <c r="L380" t="s">
        <v>43</v>
      </c>
      <c r="M380" t="s">
        <v>24</v>
      </c>
      <c r="N380">
        <f>IF(Table1[[#This Row],[Akhir]]&lt;Table1[[#This Row],[Awal]],(Table1[[#This Row],[Akhir]]+1)-Table1[[#This Row],[Awal]],Table1[[#This Row],[Akhir]]-Table1[[#This Row],[Awal]])*24</f>
        <v>12</v>
      </c>
      <c r="O380" t="str">
        <f>IF(Table1[[#This Row],[Duration Real]]&gt;=6,"Major",
IF(Table1[[#This Row],[Duration Real]]&gt;=2,"Medium","Minor"))</f>
        <v>Major</v>
      </c>
    </row>
    <row r="381" spans="1:15" x14ac:dyDescent="0.35">
      <c r="A381" s="2">
        <v>46155</v>
      </c>
      <c r="B381" t="s">
        <v>15</v>
      </c>
      <c r="C381" t="s">
        <v>131</v>
      </c>
      <c r="D381" t="s">
        <v>484</v>
      </c>
      <c r="E381" t="s">
        <v>181</v>
      </c>
      <c r="F381" s="3">
        <v>4.3055555555555555E-2</v>
      </c>
      <c r="G381" s="4">
        <v>9.8611111111111108E-2</v>
      </c>
      <c r="H381" s="5" t="s">
        <v>19</v>
      </c>
      <c r="I381" t="s">
        <v>20</v>
      </c>
      <c r="J381" t="s">
        <v>24</v>
      </c>
      <c r="K381" t="s">
        <v>83</v>
      </c>
      <c r="L381" t="s">
        <v>79</v>
      </c>
      <c r="M381" t="s">
        <v>24</v>
      </c>
      <c r="N381">
        <f>IF(Table1[[#This Row],[Akhir]]&lt;Table1[[#This Row],[Awal]],(Table1[[#This Row],[Akhir]]+1)-Table1[[#This Row],[Awal]],Table1[[#This Row],[Akhir]]-Table1[[#This Row],[Awal]])*24</f>
        <v>1.3333333333333333</v>
      </c>
      <c r="O381" t="str">
        <f>IF(Table1[[#This Row],[Duration Real]]&gt;=6,"Major",
IF(Table1[[#This Row],[Duration Real]]&gt;=2,"Medium","Minor"))</f>
        <v>Minor</v>
      </c>
    </row>
    <row r="382" spans="1:15" x14ac:dyDescent="0.35">
      <c r="A382" s="2">
        <v>46155</v>
      </c>
      <c r="B382" t="s">
        <v>15</v>
      </c>
      <c r="C382" t="s">
        <v>44</v>
      </c>
      <c r="D382" t="s">
        <v>45</v>
      </c>
      <c r="E382" t="s">
        <v>34</v>
      </c>
      <c r="F382" s="3">
        <v>0.25</v>
      </c>
      <c r="G382" s="4">
        <v>0.75</v>
      </c>
      <c r="H382" s="5" t="s">
        <v>19</v>
      </c>
      <c r="I382" t="s">
        <v>26</v>
      </c>
      <c r="J382" t="s">
        <v>24</v>
      </c>
      <c r="K382" t="s">
        <v>46</v>
      </c>
      <c r="L382" t="s">
        <v>47</v>
      </c>
      <c r="M382" t="s">
        <v>24</v>
      </c>
      <c r="N382">
        <f>IF(Table1[[#This Row],[Akhir]]&lt;Table1[[#This Row],[Awal]],(Table1[[#This Row],[Akhir]]+1)-Table1[[#This Row],[Awal]],Table1[[#This Row],[Akhir]]-Table1[[#This Row],[Awal]])*24</f>
        <v>12</v>
      </c>
      <c r="O382" t="str">
        <f>IF(Table1[[#This Row],[Duration Real]]&gt;=6,"Major",
IF(Table1[[#This Row],[Duration Real]]&gt;=2,"Medium","Minor"))</f>
        <v>Major</v>
      </c>
    </row>
    <row r="383" spans="1:15" x14ac:dyDescent="0.35">
      <c r="A383" s="2">
        <v>46155</v>
      </c>
      <c r="B383" t="s">
        <v>15</v>
      </c>
      <c r="C383" t="s">
        <v>44</v>
      </c>
      <c r="D383" t="s">
        <v>45</v>
      </c>
      <c r="E383" t="s">
        <v>34</v>
      </c>
      <c r="F383" s="3">
        <v>0.75</v>
      </c>
      <c r="G383" s="4">
        <v>0.25</v>
      </c>
      <c r="H383" s="5" t="s">
        <v>19</v>
      </c>
      <c r="I383" t="s">
        <v>20</v>
      </c>
      <c r="J383" t="s">
        <v>24</v>
      </c>
      <c r="K383" t="s">
        <v>46</v>
      </c>
      <c r="L383" t="s">
        <v>47</v>
      </c>
      <c r="M383" t="s">
        <v>24</v>
      </c>
      <c r="N383">
        <f>IF(Table1[[#This Row],[Akhir]]&lt;Table1[[#This Row],[Awal]],(Table1[[#This Row],[Akhir]]+1)-Table1[[#This Row],[Awal]],Table1[[#This Row],[Akhir]]-Table1[[#This Row],[Awal]])*24</f>
        <v>12</v>
      </c>
      <c r="O383" t="str">
        <f>IF(Table1[[#This Row],[Duration Real]]&gt;=6,"Major",
IF(Table1[[#This Row],[Duration Real]]&gt;=2,"Medium","Minor"))</f>
        <v>Major</v>
      </c>
    </row>
    <row r="384" spans="1:15" x14ac:dyDescent="0.35">
      <c r="A384" s="2">
        <v>46155</v>
      </c>
      <c r="B384" t="s">
        <v>15</v>
      </c>
      <c r="C384" t="s">
        <v>52</v>
      </c>
      <c r="D384" t="s">
        <v>313</v>
      </c>
      <c r="E384" t="s">
        <v>229</v>
      </c>
      <c r="F384" s="3">
        <v>4.791666666666667E-2</v>
      </c>
      <c r="G384" s="4">
        <v>0.11597222222222223</v>
      </c>
      <c r="H384" s="5" t="s">
        <v>19</v>
      </c>
      <c r="I384" t="s">
        <v>20</v>
      </c>
      <c r="J384" t="s">
        <v>24</v>
      </c>
      <c r="K384" t="s">
        <v>22</v>
      </c>
      <c r="L384" t="s">
        <v>143</v>
      </c>
      <c r="M384" t="s">
        <v>24</v>
      </c>
      <c r="N384">
        <f>IF(Table1[[#This Row],[Akhir]]&lt;Table1[[#This Row],[Awal]],(Table1[[#This Row],[Akhir]]+1)-Table1[[#This Row],[Awal]],Table1[[#This Row],[Akhir]]-Table1[[#This Row],[Awal]])*24</f>
        <v>1.6333333333333335</v>
      </c>
      <c r="O384" t="str">
        <f>IF(Table1[[#This Row],[Duration Real]]&gt;=6,"Major",
IF(Table1[[#This Row],[Duration Real]]&gt;=2,"Medium","Minor"))</f>
        <v>Minor</v>
      </c>
    </row>
    <row r="385" spans="1:15" x14ac:dyDescent="0.35">
      <c r="A385" s="2">
        <v>46155</v>
      </c>
      <c r="B385" t="s">
        <v>15</v>
      </c>
      <c r="C385" t="s">
        <v>52</v>
      </c>
      <c r="D385" t="s">
        <v>485</v>
      </c>
      <c r="E385" t="s">
        <v>473</v>
      </c>
      <c r="F385" s="3">
        <v>0.75</v>
      </c>
      <c r="G385" s="4">
        <v>0.82291666666666663</v>
      </c>
      <c r="H385" s="5" t="s">
        <v>19</v>
      </c>
      <c r="I385" t="s">
        <v>20</v>
      </c>
      <c r="J385" t="s">
        <v>24</v>
      </c>
      <c r="K385" t="s">
        <v>22</v>
      </c>
      <c r="L385" t="s">
        <v>43</v>
      </c>
      <c r="M385" t="s">
        <v>24</v>
      </c>
      <c r="N385">
        <f>IF(Table1[[#This Row],[Akhir]]&lt;Table1[[#This Row],[Awal]],(Table1[[#This Row],[Akhir]]+1)-Table1[[#This Row],[Awal]],Table1[[#This Row],[Akhir]]-Table1[[#This Row],[Awal]])*24</f>
        <v>1.7499999999999991</v>
      </c>
      <c r="O385" t="str">
        <f>IF(Table1[[#This Row],[Duration Real]]&gt;=6,"Major",
IF(Table1[[#This Row],[Duration Real]]&gt;=2,"Medium","Minor"))</f>
        <v>Minor</v>
      </c>
    </row>
    <row r="386" spans="1:15" x14ac:dyDescent="0.35">
      <c r="A386" s="2">
        <v>46155</v>
      </c>
      <c r="B386" t="s">
        <v>15</v>
      </c>
      <c r="C386" t="s">
        <v>57</v>
      </c>
      <c r="D386" t="s">
        <v>190</v>
      </c>
      <c r="E386" t="s">
        <v>486</v>
      </c>
      <c r="F386" s="3">
        <v>0.30208333333333331</v>
      </c>
      <c r="G386" s="4">
        <v>0.37430555555555556</v>
      </c>
      <c r="H386" s="5" t="s">
        <v>19</v>
      </c>
      <c r="I386" t="s">
        <v>26</v>
      </c>
      <c r="J386" t="s">
        <v>24</v>
      </c>
      <c r="K386" t="s">
        <v>22</v>
      </c>
      <c r="L386" t="s">
        <v>31</v>
      </c>
      <c r="M386" t="s">
        <v>24</v>
      </c>
      <c r="N386">
        <f>IF(Table1[[#This Row],[Akhir]]&lt;Table1[[#This Row],[Awal]],(Table1[[#This Row],[Akhir]]+1)-Table1[[#This Row],[Awal]],Table1[[#This Row],[Akhir]]-Table1[[#This Row],[Awal]])*24</f>
        <v>1.7333333333333338</v>
      </c>
      <c r="O386" t="str">
        <f>IF(Table1[[#This Row],[Duration Real]]&gt;=6,"Major",
IF(Table1[[#This Row],[Duration Real]]&gt;=2,"Medium","Minor"))</f>
        <v>Minor</v>
      </c>
    </row>
    <row r="387" spans="1:15" x14ac:dyDescent="0.35">
      <c r="A387" s="2">
        <v>46155</v>
      </c>
      <c r="B387" t="s">
        <v>15</v>
      </c>
      <c r="C387" t="s">
        <v>57</v>
      </c>
      <c r="D387" t="s">
        <v>487</v>
      </c>
      <c r="E387" t="s">
        <v>488</v>
      </c>
      <c r="F387" s="3">
        <v>0.49236111111111114</v>
      </c>
      <c r="G387" s="4">
        <v>0.62013888888888891</v>
      </c>
      <c r="H387" s="5" t="s">
        <v>19</v>
      </c>
      <c r="I387" t="s">
        <v>26</v>
      </c>
      <c r="J387" t="s">
        <v>24</v>
      </c>
      <c r="K387" t="s">
        <v>22</v>
      </c>
      <c r="L387" t="s">
        <v>43</v>
      </c>
      <c r="M387" t="s">
        <v>24</v>
      </c>
      <c r="N387">
        <f>IF(Table1[[#This Row],[Akhir]]&lt;Table1[[#This Row],[Awal]],(Table1[[#This Row],[Akhir]]+1)-Table1[[#This Row],[Awal]],Table1[[#This Row],[Akhir]]-Table1[[#This Row],[Awal]])*24</f>
        <v>3.0666666666666664</v>
      </c>
      <c r="O387" t="str">
        <f>IF(Table1[[#This Row],[Duration Real]]&gt;=6,"Major",
IF(Table1[[#This Row],[Duration Real]]&gt;=2,"Medium","Minor"))</f>
        <v>Medium</v>
      </c>
    </row>
    <row r="388" spans="1:15" x14ac:dyDescent="0.35">
      <c r="A388" s="2">
        <v>46155</v>
      </c>
      <c r="B388" t="s">
        <v>15</v>
      </c>
      <c r="C388" t="s">
        <v>230</v>
      </c>
      <c r="D388" t="s">
        <v>236</v>
      </c>
      <c r="E388" t="s">
        <v>261</v>
      </c>
      <c r="F388" s="3">
        <v>0.27847222222222223</v>
      </c>
      <c r="G388" s="4">
        <v>0.37222222222222223</v>
      </c>
      <c r="H388" s="5" t="s">
        <v>19</v>
      </c>
      <c r="I388" t="s">
        <v>26</v>
      </c>
      <c r="J388" t="s">
        <v>24</v>
      </c>
      <c r="K388" t="s">
        <v>39</v>
      </c>
      <c r="L388" t="s">
        <v>43</v>
      </c>
      <c r="M388" t="s">
        <v>24</v>
      </c>
      <c r="N388">
        <f>IF(Table1[[#This Row],[Akhir]]&lt;Table1[[#This Row],[Awal]],(Table1[[#This Row],[Akhir]]+1)-Table1[[#This Row],[Awal]],Table1[[#This Row],[Akhir]]-Table1[[#This Row],[Awal]])*24</f>
        <v>2.25</v>
      </c>
      <c r="O388" t="str">
        <f>IF(Table1[[#This Row],[Duration Real]]&gt;=6,"Major",
IF(Table1[[#This Row],[Duration Real]]&gt;=2,"Medium","Minor"))</f>
        <v>Medium</v>
      </c>
    </row>
    <row r="389" spans="1:15" x14ac:dyDescent="0.35">
      <c r="A389" s="2">
        <v>46155</v>
      </c>
      <c r="B389" t="s">
        <v>15</v>
      </c>
      <c r="C389" t="s">
        <v>64</v>
      </c>
      <c r="D389" t="s">
        <v>489</v>
      </c>
      <c r="E389" t="s">
        <v>490</v>
      </c>
      <c r="F389" s="3">
        <v>0.47986111111111113</v>
      </c>
      <c r="G389" s="4">
        <v>0.62013888888888891</v>
      </c>
      <c r="H389" s="5" t="s">
        <v>19</v>
      </c>
      <c r="I389" t="s">
        <v>26</v>
      </c>
      <c r="J389" t="s">
        <v>24</v>
      </c>
      <c r="K389" t="s">
        <v>39</v>
      </c>
      <c r="L389" t="s">
        <v>366</v>
      </c>
      <c r="M389" t="s">
        <v>24</v>
      </c>
      <c r="N389">
        <f>IF(Table1[[#This Row],[Akhir]]&lt;Table1[[#This Row],[Awal]],(Table1[[#This Row],[Akhir]]+1)-Table1[[#This Row],[Awal]],Table1[[#This Row],[Akhir]]-Table1[[#This Row],[Awal]])*24</f>
        <v>3.3666666666666667</v>
      </c>
      <c r="O389" t="str">
        <f>IF(Table1[[#This Row],[Duration Real]]&gt;=6,"Major",
IF(Table1[[#This Row],[Duration Real]]&gt;=2,"Medium","Minor"))</f>
        <v>Medium</v>
      </c>
    </row>
    <row r="390" spans="1:15" x14ac:dyDescent="0.35">
      <c r="A390" s="2">
        <v>46155</v>
      </c>
      <c r="B390" t="s">
        <v>15</v>
      </c>
      <c r="C390" t="s">
        <v>64</v>
      </c>
      <c r="D390" t="s">
        <v>29</v>
      </c>
      <c r="E390" t="s">
        <v>491</v>
      </c>
      <c r="F390" s="3">
        <v>0.65416666666666667</v>
      </c>
      <c r="G390" s="4">
        <v>0.75</v>
      </c>
      <c r="H390" s="5" t="s">
        <v>19</v>
      </c>
      <c r="I390" t="s">
        <v>26</v>
      </c>
      <c r="J390" t="s">
        <v>24</v>
      </c>
      <c r="K390" t="s">
        <v>22</v>
      </c>
      <c r="L390" t="s">
        <v>492</v>
      </c>
      <c r="M390" t="s">
        <v>24</v>
      </c>
      <c r="N390">
        <f>IF(Table1[[#This Row],[Akhir]]&lt;Table1[[#This Row],[Awal]],(Table1[[#This Row],[Akhir]]+1)-Table1[[#This Row],[Awal]],Table1[[#This Row],[Akhir]]-Table1[[#This Row],[Awal]])*24</f>
        <v>2.2999999999999998</v>
      </c>
      <c r="O390" t="str">
        <f>IF(Table1[[#This Row],[Duration Real]]&gt;=6,"Major",
IF(Table1[[#This Row],[Duration Real]]&gt;=2,"Medium","Minor"))</f>
        <v>Medium</v>
      </c>
    </row>
    <row r="391" spans="1:15" x14ac:dyDescent="0.35">
      <c r="A391" s="2">
        <v>46155</v>
      </c>
      <c r="B391" t="s">
        <v>15</v>
      </c>
      <c r="C391" t="s">
        <v>85</v>
      </c>
      <c r="D391" t="s">
        <v>86</v>
      </c>
      <c r="E391" t="s">
        <v>34</v>
      </c>
      <c r="F391" s="3">
        <v>0.25</v>
      </c>
      <c r="G391" s="4">
        <v>0.75</v>
      </c>
      <c r="H391" s="5" t="s">
        <v>19</v>
      </c>
      <c r="I391" t="s">
        <v>26</v>
      </c>
      <c r="J391" t="s">
        <v>24</v>
      </c>
      <c r="K391" t="s">
        <v>22</v>
      </c>
      <c r="L391" t="s">
        <v>87</v>
      </c>
      <c r="M391" t="s">
        <v>24</v>
      </c>
      <c r="N391">
        <f>IF(Table1[[#This Row],[Akhir]]&lt;Table1[[#This Row],[Awal]],(Table1[[#This Row],[Akhir]]+1)-Table1[[#This Row],[Awal]],Table1[[#This Row],[Akhir]]-Table1[[#This Row],[Awal]])*24</f>
        <v>12</v>
      </c>
      <c r="O391" t="str">
        <f>IF(Table1[[#This Row],[Duration Real]]&gt;=6,"Major",
IF(Table1[[#This Row],[Duration Real]]&gt;=2,"Medium","Minor"))</f>
        <v>Major</v>
      </c>
    </row>
    <row r="392" spans="1:15" x14ac:dyDescent="0.35">
      <c r="A392" s="2">
        <v>46155</v>
      </c>
      <c r="B392" t="s">
        <v>15</v>
      </c>
      <c r="C392" t="s">
        <v>85</v>
      </c>
      <c r="D392" t="s">
        <v>86</v>
      </c>
      <c r="E392" t="s">
        <v>34</v>
      </c>
      <c r="F392" s="3">
        <v>0.75</v>
      </c>
      <c r="G392" s="4">
        <v>0.25</v>
      </c>
      <c r="H392" s="5" t="s">
        <v>19</v>
      </c>
      <c r="I392" t="s">
        <v>20</v>
      </c>
      <c r="J392" t="s">
        <v>24</v>
      </c>
      <c r="K392" t="s">
        <v>22</v>
      </c>
      <c r="L392" t="s">
        <v>87</v>
      </c>
      <c r="M392" t="s">
        <v>24</v>
      </c>
      <c r="N392">
        <f>IF(Table1[[#This Row],[Akhir]]&lt;Table1[[#This Row],[Awal]],(Table1[[#This Row],[Akhir]]+1)-Table1[[#This Row],[Awal]],Table1[[#This Row],[Akhir]]-Table1[[#This Row],[Awal]])*24</f>
        <v>12</v>
      </c>
      <c r="O392" t="str">
        <f>IF(Table1[[#This Row],[Duration Real]]&gt;=6,"Major",
IF(Table1[[#This Row],[Duration Real]]&gt;=2,"Medium","Minor"))</f>
        <v>Major</v>
      </c>
    </row>
    <row r="393" spans="1:15" x14ac:dyDescent="0.35">
      <c r="A393" s="2">
        <v>46155</v>
      </c>
      <c r="B393" t="s">
        <v>15</v>
      </c>
      <c r="C393" t="s">
        <v>88</v>
      </c>
      <c r="D393" t="s">
        <v>442</v>
      </c>
      <c r="E393" t="s">
        <v>34</v>
      </c>
      <c r="F393" s="3">
        <v>0.25</v>
      </c>
      <c r="G393" s="4">
        <v>0.75</v>
      </c>
      <c r="H393" s="5" t="s">
        <v>19</v>
      </c>
      <c r="I393" t="s">
        <v>26</v>
      </c>
      <c r="J393" t="s">
        <v>24</v>
      </c>
      <c r="K393" t="s">
        <v>22</v>
      </c>
      <c r="L393" t="s">
        <v>23</v>
      </c>
      <c r="M393" t="s">
        <v>24</v>
      </c>
      <c r="N393">
        <f>IF(Table1[[#This Row],[Akhir]]&lt;Table1[[#This Row],[Awal]],(Table1[[#This Row],[Akhir]]+1)-Table1[[#This Row],[Awal]],Table1[[#This Row],[Akhir]]-Table1[[#This Row],[Awal]])*24</f>
        <v>12</v>
      </c>
      <c r="O393" t="str">
        <f>IF(Table1[[#This Row],[Duration Real]]&gt;=6,"Major",
IF(Table1[[#This Row],[Duration Real]]&gt;=2,"Medium","Minor"))</f>
        <v>Major</v>
      </c>
    </row>
    <row r="394" spans="1:15" x14ac:dyDescent="0.35">
      <c r="A394" s="2">
        <v>46155</v>
      </c>
      <c r="B394" t="s">
        <v>15</v>
      </c>
      <c r="C394" t="s">
        <v>88</v>
      </c>
      <c r="D394" t="s">
        <v>442</v>
      </c>
      <c r="E394" t="s">
        <v>34</v>
      </c>
      <c r="F394" s="3">
        <v>0.75</v>
      </c>
      <c r="G394" s="4">
        <v>0.25</v>
      </c>
      <c r="H394" s="5" t="s">
        <v>19</v>
      </c>
      <c r="I394" t="s">
        <v>20</v>
      </c>
      <c r="J394" t="s">
        <v>24</v>
      </c>
      <c r="K394" t="s">
        <v>22</v>
      </c>
      <c r="L394" t="s">
        <v>23</v>
      </c>
      <c r="M394" t="s">
        <v>24</v>
      </c>
      <c r="N394">
        <f>IF(Table1[[#This Row],[Akhir]]&lt;Table1[[#This Row],[Awal]],(Table1[[#This Row],[Akhir]]+1)-Table1[[#This Row],[Awal]],Table1[[#This Row],[Akhir]]-Table1[[#This Row],[Awal]])*24</f>
        <v>12</v>
      </c>
      <c r="O394" t="str">
        <f>IF(Table1[[#This Row],[Duration Real]]&gt;=6,"Major",
IF(Table1[[#This Row],[Duration Real]]&gt;=2,"Medium","Minor"))</f>
        <v>Major</v>
      </c>
    </row>
    <row r="395" spans="1:15" x14ac:dyDescent="0.35">
      <c r="A395" s="2">
        <v>46155</v>
      </c>
      <c r="B395" t="s">
        <v>15</v>
      </c>
      <c r="C395" t="s">
        <v>118</v>
      </c>
      <c r="D395" t="s">
        <v>493</v>
      </c>
      <c r="E395" t="s">
        <v>479</v>
      </c>
      <c r="F395" s="3">
        <v>0.8125</v>
      </c>
      <c r="G395" s="4">
        <v>0.84236111111111112</v>
      </c>
      <c r="H395" s="5" t="s">
        <v>19</v>
      </c>
      <c r="I395" t="s">
        <v>20</v>
      </c>
      <c r="J395" t="s">
        <v>24</v>
      </c>
      <c r="K395" t="s">
        <v>22</v>
      </c>
      <c r="L395" t="s">
        <v>494</v>
      </c>
      <c r="M395" t="s">
        <v>24</v>
      </c>
      <c r="N395">
        <f>IF(Table1[[#This Row],[Akhir]]&lt;Table1[[#This Row],[Awal]],(Table1[[#This Row],[Akhir]]+1)-Table1[[#This Row],[Awal]],Table1[[#This Row],[Akhir]]-Table1[[#This Row],[Awal]])*24</f>
        <v>0.71666666666666679</v>
      </c>
      <c r="O395" t="str">
        <f>IF(Table1[[#This Row],[Duration Real]]&gt;=6,"Major",
IF(Table1[[#This Row],[Duration Real]]&gt;=2,"Medium","Minor"))</f>
        <v>Minor</v>
      </c>
    </row>
    <row r="396" spans="1:15" x14ac:dyDescent="0.35">
      <c r="A396" s="2">
        <v>46155</v>
      </c>
      <c r="B396" t="s">
        <v>94</v>
      </c>
      <c r="C396" t="s">
        <v>95</v>
      </c>
      <c r="D396" t="s">
        <v>495</v>
      </c>
      <c r="E396" t="s">
        <v>496</v>
      </c>
      <c r="F396" s="3">
        <v>0.25</v>
      </c>
      <c r="G396" s="4">
        <v>0.41180555555555554</v>
      </c>
      <c r="H396" s="5" t="s">
        <v>19</v>
      </c>
      <c r="I396" t="s">
        <v>26</v>
      </c>
      <c r="J396" t="s">
        <v>24</v>
      </c>
      <c r="K396" t="s">
        <v>39</v>
      </c>
      <c r="L396" t="s">
        <v>43</v>
      </c>
      <c r="M396" t="s">
        <v>24</v>
      </c>
      <c r="N396">
        <f>IF(Table1[[#This Row],[Akhir]]&lt;Table1[[#This Row],[Awal]],(Table1[[#This Row],[Akhir]]+1)-Table1[[#This Row],[Awal]],Table1[[#This Row],[Akhir]]-Table1[[#This Row],[Awal]])*24</f>
        <v>3.8833333333333329</v>
      </c>
      <c r="O396" t="str">
        <f>IF(Table1[[#This Row],[Duration Real]]&gt;=6,"Major",
IF(Table1[[#This Row],[Duration Real]]&gt;=2,"Medium","Minor"))</f>
        <v>Medium</v>
      </c>
    </row>
    <row r="397" spans="1:15" x14ac:dyDescent="0.35">
      <c r="A397" s="2">
        <v>46155</v>
      </c>
      <c r="B397" t="s">
        <v>94</v>
      </c>
      <c r="C397" t="s">
        <v>95</v>
      </c>
      <c r="D397" t="s">
        <v>124</v>
      </c>
      <c r="E397" t="s">
        <v>497</v>
      </c>
      <c r="F397" s="3">
        <v>0.41180555555555554</v>
      </c>
      <c r="G397" s="4">
        <v>0.44444444444444442</v>
      </c>
      <c r="H397" s="5" t="s">
        <v>19</v>
      </c>
      <c r="I397" t="s">
        <v>26</v>
      </c>
      <c r="J397" t="s">
        <v>24</v>
      </c>
      <c r="K397" t="s">
        <v>22</v>
      </c>
      <c r="L397" t="s">
        <v>43</v>
      </c>
      <c r="M397" t="s">
        <v>24</v>
      </c>
      <c r="N397">
        <f>IF(Table1[[#This Row],[Akhir]]&lt;Table1[[#This Row],[Awal]],(Table1[[#This Row],[Akhir]]+1)-Table1[[#This Row],[Awal]],Table1[[#This Row],[Akhir]]-Table1[[#This Row],[Awal]])*24</f>
        <v>0.78333333333333321</v>
      </c>
      <c r="O397" t="str">
        <f>IF(Table1[[#This Row],[Duration Real]]&gt;=6,"Major",
IF(Table1[[#This Row],[Duration Real]]&gt;=2,"Medium","Minor"))</f>
        <v>Minor</v>
      </c>
    </row>
    <row r="398" spans="1:15" x14ac:dyDescent="0.35">
      <c r="A398" s="2">
        <v>46155</v>
      </c>
      <c r="B398" t="s">
        <v>94</v>
      </c>
      <c r="C398" t="s">
        <v>95</v>
      </c>
      <c r="D398" t="s">
        <v>498</v>
      </c>
      <c r="E398" t="s">
        <v>499</v>
      </c>
      <c r="F398" s="3">
        <v>0.75</v>
      </c>
      <c r="G398" s="4">
        <v>0.83819444444444446</v>
      </c>
      <c r="H398" s="5" t="s">
        <v>19</v>
      </c>
      <c r="I398" t="s">
        <v>20</v>
      </c>
      <c r="J398" t="s">
        <v>24</v>
      </c>
      <c r="K398" t="s">
        <v>22</v>
      </c>
      <c r="L398" t="s">
        <v>43</v>
      </c>
      <c r="M398" t="s">
        <v>24</v>
      </c>
      <c r="N398">
        <f>IF(Table1[[#This Row],[Akhir]]&lt;Table1[[#This Row],[Awal]],(Table1[[#This Row],[Akhir]]+1)-Table1[[#This Row],[Awal]],Table1[[#This Row],[Akhir]]-Table1[[#This Row],[Awal]])*24</f>
        <v>2.1166666666666671</v>
      </c>
      <c r="O398" t="str">
        <f>IF(Table1[[#This Row],[Duration Real]]&gt;=6,"Major",
IF(Table1[[#This Row],[Duration Real]]&gt;=2,"Medium","Minor"))</f>
        <v>Medium</v>
      </c>
    </row>
    <row r="399" spans="1:15" x14ac:dyDescent="0.35">
      <c r="A399" s="2">
        <v>46155</v>
      </c>
      <c r="B399" t="s">
        <v>94</v>
      </c>
      <c r="C399" t="s">
        <v>95</v>
      </c>
      <c r="D399" t="s">
        <v>500</v>
      </c>
      <c r="E399" t="s">
        <v>501</v>
      </c>
      <c r="F399" s="3">
        <v>0.8881944444444444</v>
      </c>
      <c r="G399" s="4">
        <v>6.1111111111111109E-2</v>
      </c>
      <c r="H399" s="5" t="s">
        <v>19</v>
      </c>
      <c r="I399" t="s">
        <v>20</v>
      </c>
      <c r="J399" t="s">
        <v>24</v>
      </c>
      <c r="K399" t="s">
        <v>22</v>
      </c>
      <c r="L399" t="s">
        <v>143</v>
      </c>
      <c r="M399" t="s">
        <v>24</v>
      </c>
      <c r="N399">
        <f>IF(Table1[[#This Row],[Akhir]]&lt;Table1[[#This Row],[Awal]],(Table1[[#This Row],[Akhir]]+1)-Table1[[#This Row],[Awal]],Table1[[#This Row],[Akhir]]-Table1[[#This Row],[Awal]])*24</f>
        <v>4.1500000000000012</v>
      </c>
      <c r="O399" t="str">
        <f>IF(Table1[[#This Row],[Duration Real]]&gt;=6,"Major",
IF(Table1[[#This Row],[Duration Real]]&gt;=2,"Medium","Minor"))</f>
        <v>Medium</v>
      </c>
    </row>
    <row r="400" spans="1:15" x14ac:dyDescent="0.35">
      <c r="A400" s="2">
        <v>46155</v>
      </c>
      <c r="B400" t="s">
        <v>94</v>
      </c>
      <c r="C400" t="s">
        <v>95</v>
      </c>
      <c r="D400" t="s">
        <v>502</v>
      </c>
      <c r="E400" t="s">
        <v>503</v>
      </c>
      <c r="F400" s="3">
        <v>0.6118055555555556</v>
      </c>
      <c r="G400" s="4">
        <v>0.68888888888888888</v>
      </c>
      <c r="H400" s="5" t="s">
        <v>19</v>
      </c>
      <c r="I400" t="s">
        <v>26</v>
      </c>
      <c r="J400" t="s">
        <v>24</v>
      </c>
      <c r="K400" t="s">
        <v>22</v>
      </c>
      <c r="L400" t="s">
        <v>43</v>
      </c>
      <c r="M400" t="s">
        <v>24</v>
      </c>
      <c r="N400">
        <f>IF(Table1[[#This Row],[Akhir]]&lt;Table1[[#This Row],[Awal]],(Table1[[#This Row],[Akhir]]+1)-Table1[[#This Row],[Awal]],Table1[[#This Row],[Akhir]]-Table1[[#This Row],[Awal]])*24</f>
        <v>1.8499999999999988</v>
      </c>
      <c r="O400" t="str">
        <f>IF(Table1[[#This Row],[Duration Real]]&gt;=6,"Major",
IF(Table1[[#This Row],[Duration Real]]&gt;=2,"Medium","Minor"))</f>
        <v>Minor</v>
      </c>
    </row>
    <row r="401" spans="1:15" x14ac:dyDescent="0.35">
      <c r="A401" s="2">
        <v>46155</v>
      </c>
      <c r="B401" t="s">
        <v>94</v>
      </c>
      <c r="C401" t="s">
        <v>99</v>
      </c>
      <c r="D401" t="s">
        <v>476</v>
      </c>
      <c r="E401" t="s">
        <v>504</v>
      </c>
      <c r="F401" s="3">
        <v>0.25</v>
      </c>
      <c r="G401" s="4">
        <v>0.70208333333333328</v>
      </c>
      <c r="H401" s="5" t="s">
        <v>19</v>
      </c>
      <c r="I401" t="s">
        <v>26</v>
      </c>
      <c r="J401" t="s">
        <v>24</v>
      </c>
      <c r="K401" t="s">
        <v>22</v>
      </c>
      <c r="L401" t="s">
        <v>23</v>
      </c>
      <c r="M401" t="s">
        <v>24</v>
      </c>
      <c r="N401">
        <f>IF(Table1[[#This Row],[Akhir]]&lt;Table1[[#This Row],[Awal]],(Table1[[#This Row],[Akhir]]+1)-Table1[[#This Row],[Awal]],Table1[[#This Row],[Akhir]]-Table1[[#This Row],[Awal]])*24</f>
        <v>10.849999999999998</v>
      </c>
      <c r="O401" t="str">
        <f>IF(Table1[[#This Row],[Duration Real]]&gt;=6,"Major",
IF(Table1[[#This Row],[Duration Real]]&gt;=2,"Medium","Minor"))</f>
        <v>Major</v>
      </c>
    </row>
    <row r="402" spans="1:15" x14ac:dyDescent="0.35">
      <c r="A402" s="2">
        <v>46155</v>
      </c>
      <c r="B402" t="s">
        <v>94</v>
      </c>
      <c r="C402" t="s">
        <v>99</v>
      </c>
      <c r="D402" t="s">
        <v>505</v>
      </c>
      <c r="E402" t="s">
        <v>406</v>
      </c>
      <c r="F402" s="3">
        <v>0.97986111111111107</v>
      </c>
      <c r="G402" s="4">
        <v>6.1111111111111109E-2</v>
      </c>
      <c r="H402" s="5" t="s">
        <v>19</v>
      </c>
      <c r="I402" t="s">
        <v>20</v>
      </c>
      <c r="J402" t="s">
        <v>24</v>
      </c>
      <c r="K402" t="s">
        <v>22</v>
      </c>
      <c r="L402" t="s">
        <v>43</v>
      </c>
      <c r="M402" t="s">
        <v>24</v>
      </c>
      <c r="N402">
        <f>IF(Table1[[#This Row],[Akhir]]&lt;Table1[[#This Row],[Awal]],(Table1[[#This Row],[Akhir]]+1)-Table1[[#This Row],[Awal]],Table1[[#This Row],[Akhir]]-Table1[[#This Row],[Awal]])*24</f>
        <v>1.9500000000000011</v>
      </c>
      <c r="O402" t="str">
        <f>IF(Table1[[#This Row],[Duration Real]]&gt;=6,"Major",
IF(Table1[[#This Row],[Duration Real]]&gt;=2,"Medium","Minor"))</f>
        <v>Minor</v>
      </c>
    </row>
    <row r="403" spans="1:15" x14ac:dyDescent="0.35">
      <c r="A403" s="2">
        <v>46155</v>
      </c>
      <c r="B403" t="s">
        <v>94</v>
      </c>
      <c r="C403" t="s">
        <v>204</v>
      </c>
      <c r="D403" t="s">
        <v>506</v>
      </c>
      <c r="E403" t="s">
        <v>169</v>
      </c>
      <c r="F403" s="3">
        <v>0.375</v>
      </c>
      <c r="G403" s="4">
        <v>0.41180555555555554</v>
      </c>
      <c r="H403" s="5" t="s">
        <v>19</v>
      </c>
      <c r="I403" t="s">
        <v>26</v>
      </c>
      <c r="J403" t="s">
        <v>24</v>
      </c>
      <c r="K403" t="s">
        <v>39</v>
      </c>
      <c r="L403" t="s">
        <v>43</v>
      </c>
      <c r="M403" t="s">
        <v>24</v>
      </c>
      <c r="N403">
        <f>IF(Table1[[#This Row],[Akhir]]&lt;Table1[[#This Row],[Awal]],(Table1[[#This Row],[Akhir]]+1)-Table1[[#This Row],[Awal]],Table1[[#This Row],[Akhir]]-Table1[[#This Row],[Awal]])*24</f>
        <v>0.88333333333333286</v>
      </c>
      <c r="O403" t="str">
        <f>IF(Table1[[#This Row],[Duration Real]]&gt;=6,"Major",
IF(Table1[[#This Row],[Duration Real]]&gt;=2,"Medium","Minor"))</f>
        <v>Minor</v>
      </c>
    </row>
    <row r="404" spans="1:15" x14ac:dyDescent="0.35">
      <c r="A404" s="2">
        <v>46155</v>
      </c>
      <c r="B404" t="s">
        <v>94</v>
      </c>
      <c r="C404" t="s">
        <v>101</v>
      </c>
      <c r="D404" t="s">
        <v>102</v>
      </c>
      <c r="E404" t="s">
        <v>34</v>
      </c>
      <c r="F404" s="3">
        <v>0.25</v>
      </c>
      <c r="G404" s="4">
        <v>0.75</v>
      </c>
      <c r="H404" s="5" t="s">
        <v>19</v>
      </c>
      <c r="I404" t="s">
        <v>26</v>
      </c>
      <c r="J404" t="s">
        <v>24</v>
      </c>
      <c r="K404" t="s">
        <v>22</v>
      </c>
      <c r="L404" t="s">
        <v>23</v>
      </c>
      <c r="M404" t="s">
        <v>24</v>
      </c>
      <c r="N404">
        <f>IF(Table1[[#This Row],[Akhir]]&lt;Table1[[#This Row],[Awal]],(Table1[[#This Row],[Akhir]]+1)-Table1[[#This Row],[Awal]],Table1[[#This Row],[Akhir]]-Table1[[#This Row],[Awal]])*24</f>
        <v>12</v>
      </c>
      <c r="O404" t="str">
        <f>IF(Table1[[#This Row],[Duration Real]]&gt;=6,"Major",
IF(Table1[[#This Row],[Duration Real]]&gt;=2,"Medium","Minor"))</f>
        <v>Major</v>
      </c>
    </row>
    <row r="405" spans="1:15" x14ac:dyDescent="0.35">
      <c r="A405" s="2">
        <v>46155</v>
      </c>
      <c r="B405" t="s">
        <v>94</v>
      </c>
      <c r="C405" t="s">
        <v>101</v>
      </c>
      <c r="D405" t="s">
        <v>102</v>
      </c>
      <c r="E405" t="s">
        <v>34</v>
      </c>
      <c r="F405" s="3">
        <v>0.75</v>
      </c>
      <c r="G405" s="4">
        <v>0.25</v>
      </c>
      <c r="H405" s="5" t="s">
        <v>19</v>
      </c>
      <c r="I405" t="s">
        <v>20</v>
      </c>
      <c r="J405" t="s">
        <v>24</v>
      </c>
      <c r="K405" t="s">
        <v>22</v>
      </c>
      <c r="L405" t="s">
        <v>23</v>
      </c>
      <c r="M405" t="s">
        <v>24</v>
      </c>
      <c r="N405">
        <f>IF(Table1[[#This Row],[Akhir]]&lt;Table1[[#This Row],[Awal]],(Table1[[#This Row],[Akhir]]+1)-Table1[[#This Row],[Awal]],Table1[[#This Row],[Akhir]]-Table1[[#This Row],[Awal]])*24</f>
        <v>12</v>
      </c>
      <c r="O405" t="str">
        <f>IF(Table1[[#This Row],[Duration Real]]&gt;=6,"Major",
IF(Table1[[#This Row],[Duration Real]]&gt;=2,"Medium","Minor"))</f>
        <v>Major</v>
      </c>
    </row>
    <row r="406" spans="1:15" x14ac:dyDescent="0.35">
      <c r="A406" s="2">
        <v>46156</v>
      </c>
      <c r="B406" t="s">
        <v>15</v>
      </c>
      <c r="C406" t="s">
        <v>16</v>
      </c>
      <c r="D406" t="s">
        <v>139</v>
      </c>
      <c r="E406" t="s">
        <v>417</v>
      </c>
      <c r="F406" s="3">
        <v>0.25</v>
      </c>
      <c r="G406" s="4">
        <v>0.3</v>
      </c>
      <c r="H406" s="5" t="s">
        <v>19</v>
      </c>
      <c r="I406" t="s">
        <v>26</v>
      </c>
      <c r="J406" t="s">
        <v>24</v>
      </c>
      <c r="K406" t="s">
        <v>39</v>
      </c>
      <c r="L406" t="s">
        <v>43</v>
      </c>
      <c r="M406" t="s">
        <v>24</v>
      </c>
      <c r="N406">
        <f>IF(Table1[[#This Row],[Akhir]]&lt;Table1[[#This Row],[Awal]],(Table1[[#This Row],[Akhir]]+1)-Table1[[#This Row],[Awal]],Table1[[#This Row],[Akhir]]-Table1[[#This Row],[Awal]])*24</f>
        <v>1.1999999999999997</v>
      </c>
      <c r="O406" t="str">
        <f>IF(Table1[[#This Row],[Duration Real]]&gt;=6,"Major",
IF(Table1[[#This Row],[Duration Real]]&gt;=2,"Medium","Minor"))</f>
        <v>Minor</v>
      </c>
    </row>
    <row r="407" spans="1:15" x14ac:dyDescent="0.35">
      <c r="A407" s="2">
        <v>46156</v>
      </c>
      <c r="B407" t="s">
        <v>15</v>
      </c>
      <c r="C407" t="s">
        <v>16</v>
      </c>
      <c r="D407" t="s">
        <v>507</v>
      </c>
      <c r="E407" t="s">
        <v>284</v>
      </c>
      <c r="F407" s="3">
        <v>0.34652777777777777</v>
      </c>
      <c r="G407" s="4">
        <v>0.375</v>
      </c>
      <c r="H407" s="5" t="s">
        <v>19</v>
      </c>
      <c r="I407" t="s">
        <v>26</v>
      </c>
      <c r="J407" t="s">
        <v>24</v>
      </c>
      <c r="K407" t="s">
        <v>39</v>
      </c>
      <c r="L407" t="s">
        <v>43</v>
      </c>
      <c r="M407" t="s">
        <v>24</v>
      </c>
      <c r="N407">
        <f>IF(Table1[[#This Row],[Akhir]]&lt;Table1[[#This Row],[Awal]],(Table1[[#This Row],[Akhir]]+1)-Table1[[#This Row],[Awal]],Table1[[#This Row],[Akhir]]-Table1[[#This Row],[Awal]])*24</f>
        <v>0.68333333333333357</v>
      </c>
      <c r="O407" t="str">
        <f>IF(Table1[[#This Row],[Duration Real]]&gt;=6,"Major",
IF(Table1[[#This Row],[Duration Real]]&gt;=2,"Medium","Minor"))</f>
        <v>Minor</v>
      </c>
    </row>
    <row r="408" spans="1:15" x14ac:dyDescent="0.35">
      <c r="A408" s="2">
        <v>46156</v>
      </c>
      <c r="B408" t="s">
        <v>15</v>
      </c>
      <c r="C408" t="s">
        <v>16</v>
      </c>
      <c r="D408" t="s">
        <v>508</v>
      </c>
      <c r="E408" t="s">
        <v>398</v>
      </c>
      <c r="F408" s="3">
        <v>0.75</v>
      </c>
      <c r="G408" s="4">
        <v>0.8256944444444444</v>
      </c>
      <c r="H408" s="5" t="s">
        <v>19</v>
      </c>
      <c r="I408" t="s">
        <v>20</v>
      </c>
      <c r="J408" t="s">
        <v>24</v>
      </c>
      <c r="K408" t="s">
        <v>22</v>
      </c>
      <c r="L408" t="s">
        <v>43</v>
      </c>
      <c r="M408" t="s">
        <v>24</v>
      </c>
      <c r="N408">
        <f>IF(Table1[[#This Row],[Akhir]]&lt;Table1[[#This Row],[Awal]],(Table1[[#This Row],[Akhir]]+1)-Table1[[#This Row],[Awal]],Table1[[#This Row],[Akhir]]-Table1[[#This Row],[Awal]])*24</f>
        <v>1.8166666666666655</v>
      </c>
      <c r="O408" t="str">
        <f>IF(Table1[[#This Row],[Duration Real]]&gt;=6,"Major",
IF(Table1[[#This Row],[Duration Real]]&gt;=2,"Medium","Minor"))</f>
        <v>Minor</v>
      </c>
    </row>
    <row r="409" spans="1:15" x14ac:dyDescent="0.35">
      <c r="A409" s="2">
        <v>46156</v>
      </c>
      <c r="B409" t="s">
        <v>15</v>
      </c>
      <c r="C409" t="s">
        <v>16</v>
      </c>
      <c r="D409" t="s">
        <v>508</v>
      </c>
      <c r="E409" t="s">
        <v>509</v>
      </c>
      <c r="F409" s="3">
        <v>0.47847222222222224</v>
      </c>
      <c r="G409" s="4">
        <v>0.75</v>
      </c>
      <c r="H409" s="5" t="s">
        <v>19</v>
      </c>
      <c r="I409" t="s">
        <v>26</v>
      </c>
      <c r="J409" t="s">
        <v>24</v>
      </c>
      <c r="K409" t="s">
        <v>22</v>
      </c>
      <c r="L409" t="s">
        <v>43</v>
      </c>
      <c r="M409" t="s">
        <v>24</v>
      </c>
      <c r="N409">
        <f>IF(Table1[[#This Row],[Akhir]]&lt;Table1[[#This Row],[Awal]],(Table1[[#This Row],[Akhir]]+1)-Table1[[#This Row],[Awal]],Table1[[#This Row],[Akhir]]-Table1[[#This Row],[Awal]])*24</f>
        <v>6.5166666666666657</v>
      </c>
      <c r="O409" t="str">
        <f>IF(Table1[[#This Row],[Duration Real]]&gt;=6,"Major",
IF(Table1[[#This Row],[Duration Real]]&gt;=2,"Medium","Minor"))</f>
        <v>Major</v>
      </c>
    </row>
    <row r="410" spans="1:15" x14ac:dyDescent="0.35">
      <c r="A410" s="2">
        <v>46156</v>
      </c>
      <c r="B410" t="s">
        <v>15</v>
      </c>
      <c r="C410" t="s">
        <v>28</v>
      </c>
      <c r="D410" t="s">
        <v>49</v>
      </c>
      <c r="E410" t="s">
        <v>417</v>
      </c>
      <c r="F410" s="3">
        <v>0.25</v>
      </c>
      <c r="G410" s="4">
        <v>0.3</v>
      </c>
      <c r="H410" s="5" t="s">
        <v>19</v>
      </c>
      <c r="I410" t="s">
        <v>26</v>
      </c>
      <c r="J410" t="s">
        <v>24</v>
      </c>
      <c r="K410" t="s">
        <v>39</v>
      </c>
      <c r="L410" t="s">
        <v>43</v>
      </c>
      <c r="M410" t="s">
        <v>24</v>
      </c>
      <c r="N410">
        <f>IF(Table1[[#This Row],[Akhir]]&lt;Table1[[#This Row],[Awal]],(Table1[[#This Row],[Akhir]]+1)-Table1[[#This Row],[Awal]],Table1[[#This Row],[Akhir]]-Table1[[#This Row],[Awal]])*24</f>
        <v>1.1999999999999997</v>
      </c>
      <c r="O410" t="str">
        <f>IF(Table1[[#This Row],[Duration Real]]&gt;=6,"Major",
IF(Table1[[#This Row],[Duration Real]]&gt;=2,"Medium","Minor"))</f>
        <v>Minor</v>
      </c>
    </row>
    <row r="411" spans="1:15" x14ac:dyDescent="0.35">
      <c r="A411" s="2">
        <v>46156</v>
      </c>
      <c r="B411" t="s">
        <v>15</v>
      </c>
      <c r="C411" t="s">
        <v>28</v>
      </c>
      <c r="D411" t="s">
        <v>510</v>
      </c>
      <c r="E411" t="s">
        <v>34</v>
      </c>
      <c r="F411" s="3">
        <v>0.75</v>
      </c>
      <c r="G411" s="4">
        <v>0.25</v>
      </c>
      <c r="H411" s="5" t="s">
        <v>358</v>
      </c>
      <c r="I411" t="s">
        <v>20</v>
      </c>
      <c r="J411" t="s">
        <v>24</v>
      </c>
      <c r="K411" t="s">
        <v>22</v>
      </c>
      <c r="L411" t="s">
        <v>39</v>
      </c>
      <c r="M411" t="s">
        <v>24</v>
      </c>
      <c r="N411">
        <f>IF(Table1[[#This Row],[Akhir]]&lt;Table1[[#This Row],[Awal]],(Table1[[#This Row],[Akhir]]+1)-Table1[[#This Row],[Awal]],Table1[[#This Row],[Akhir]]-Table1[[#This Row],[Awal]])*24</f>
        <v>12</v>
      </c>
      <c r="O411" t="str">
        <f>IF(Table1[[#This Row],[Duration Real]]&gt;=6,"Major",
IF(Table1[[#This Row],[Duration Real]]&gt;=2,"Medium","Minor"))</f>
        <v>Major</v>
      </c>
    </row>
    <row r="412" spans="1:15" x14ac:dyDescent="0.35">
      <c r="A412" s="2">
        <v>46156</v>
      </c>
      <c r="B412" t="s">
        <v>15</v>
      </c>
      <c r="C412" t="s">
        <v>28</v>
      </c>
      <c r="D412" t="s">
        <v>510</v>
      </c>
      <c r="E412" t="s">
        <v>277</v>
      </c>
      <c r="F412" s="3">
        <v>0.63194444444444442</v>
      </c>
      <c r="G412" s="4">
        <v>0.75</v>
      </c>
      <c r="H412" s="5" t="s">
        <v>358</v>
      </c>
      <c r="I412" t="s">
        <v>26</v>
      </c>
      <c r="J412" t="s">
        <v>24</v>
      </c>
      <c r="K412" t="s">
        <v>22</v>
      </c>
      <c r="L412" t="s">
        <v>39</v>
      </c>
      <c r="M412" t="s">
        <v>24</v>
      </c>
      <c r="N412">
        <f>IF(Table1[[#This Row],[Akhir]]&lt;Table1[[#This Row],[Awal]],(Table1[[#This Row],[Akhir]]+1)-Table1[[#This Row],[Awal]],Table1[[#This Row],[Akhir]]-Table1[[#This Row],[Awal]])*24</f>
        <v>2.8333333333333339</v>
      </c>
      <c r="O412" t="str">
        <f>IF(Table1[[#This Row],[Duration Real]]&gt;=6,"Major",
IF(Table1[[#This Row],[Duration Real]]&gt;=2,"Medium","Minor"))</f>
        <v>Medium</v>
      </c>
    </row>
    <row r="413" spans="1:15" x14ac:dyDescent="0.35">
      <c r="A413" s="2">
        <v>46156</v>
      </c>
      <c r="B413" t="s">
        <v>15</v>
      </c>
      <c r="C413" t="s">
        <v>32</v>
      </c>
      <c r="D413" t="s">
        <v>428</v>
      </c>
      <c r="E413" t="s">
        <v>34</v>
      </c>
      <c r="F413" s="3">
        <v>0.25</v>
      </c>
      <c r="G413" s="4">
        <v>0.75</v>
      </c>
      <c r="H413" s="5" t="s">
        <v>19</v>
      </c>
      <c r="I413" t="s">
        <v>26</v>
      </c>
      <c r="J413" t="s">
        <v>24</v>
      </c>
      <c r="K413" t="s">
        <v>22</v>
      </c>
      <c r="L413" t="s">
        <v>43</v>
      </c>
      <c r="M413" t="s">
        <v>24</v>
      </c>
      <c r="N413">
        <f>IF(Table1[[#This Row],[Akhir]]&lt;Table1[[#This Row],[Awal]],(Table1[[#This Row],[Akhir]]+1)-Table1[[#This Row],[Awal]],Table1[[#This Row],[Akhir]]-Table1[[#This Row],[Awal]])*24</f>
        <v>12</v>
      </c>
      <c r="O413" t="str">
        <f>IF(Table1[[#This Row],[Duration Real]]&gt;=6,"Major",
IF(Table1[[#This Row],[Duration Real]]&gt;=2,"Medium","Minor"))</f>
        <v>Major</v>
      </c>
    </row>
    <row r="414" spans="1:15" x14ac:dyDescent="0.35">
      <c r="A414" s="2">
        <v>46156</v>
      </c>
      <c r="B414" t="s">
        <v>15</v>
      </c>
      <c r="C414" t="s">
        <v>32</v>
      </c>
      <c r="D414" t="s">
        <v>428</v>
      </c>
      <c r="E414" t="s">
        <v>34</v>
      </c>
      <c r="F414" s="3">
        <v>0.75</v>
      </c>
      <c r="G414" s="4">
        <v>0.25</v>
      </c>
      <c r="H414" s="5" t="s">
        <v>19</v>
      </c>
      <c r="I414" t="s">
        <v>20</v>
      </c>
      <c r="J414" t="s">
        <v>24</v>
      </c>
      <c r="K414" t="s">
        <v>22</v>
      </c>
      <c r="L414" t="s">
        <v>43</v>
      </c>
      <c r="M414" t="s">
        <v>24</v>
      </c>
      <c r="N414">
        <f>IF(Table1[[#This Row],[Akhir]]&lt;Table1[[#This Row],[Awal]],(Table1[[#This Row],[Akhir]]+1)-Table1[[#This Row],[Awal]],Table1[[#This Row],[Akhir]]-Table1[[#This Row],[Awal]])*24</f>
        <v>12</v>
      </c>
      <c r="O414" t="str">
        <f>IF(Table1[[#This Row],[Duration Real]]&gt;=6,"Major",
IF(Table1[[#This Row],[Duration Real]]&gt;=2,"Medium","Minor"))</f>
        <v>Major</v>
      </c>
    </row>
    <row r="415" spans="1:15" x14ac:dyDescent="0.35">
      <c r="A415" s="2">
        <v>46156</v>
      </c>
      <c r="B415" t="s">
        <v>15</v>
      </c>
      <c r="C415" t="s">
        <v>36</v>
      </c>
      <c r="D415" t="s">
        <v>511</v>
      </c>
      <c r="E415" t="s">
        <v>512</v>
      </c>
      <c r="F415" s="3">
        <v>0.57499999999999996</v>
      </c>
      <c r="G415" s="4">
        <v>0.69930555555555551</v>
      </c>
      <c r="H415" s="5" t="s">
        <v>19</v>
      </c>
      <c r="I415" t="s">
        <v>26</v>
      </c>
      <c r="J415" t="s">
        <v>24</v>
      </c>
      <c r="K415" t="s">
        <v>22</v>
      </c>
      <c r="L415" t="s">
        <v>513</v>
      </c>
      <c r="M415" t="s">
        <v>24</v>
      </c>
      <c r="N415">
        <f>IF(Table1[[#This Row],[Akhir]]&lt;Table1[[#This Row],[Awal]],(Table1[[#This Row],[Akhir]]+1)-Table1[[#This Row],[Awal]],Table1[[#This Row],[Akhir]]-Table1[[#This Row],[Awal]])*24</f>
        <v>2.9833333333333334</v>
      </c>
      <c r="O415" t="str">
        <f>IF(Table1[[#This Row],[Duration Real]]&gt;=6,"Major",
IF(Table1[[#This Row],[Duration Real]]&gt;=2,"Medium","Minor"))</f>
        <v>Medium</v>
      </c>
    </row>
    <row r="416" spans="1:15" x14ac:dyDescent="0.35">
      <c r="A416" s="2">
        <v>46156</v>
      </c>
      <c r="B416" t="s">
        <v>15</v>
      </c>
      <c r="C416" t="s">
        <v>36</v>
      </c>
      <c r="D416" t="s">
        <v>482</v>
      </c>
      <c r="E416" t="s">
        <v>514</v>
      </c>
      <c r="F416" s="3">
        <v>0.25</v>
      </c>
      <c r="G416" s="4">
        <v>0.39583333333333331</v>
      </c>
      <c r="H416" s="5" t="s">
        <v>19</v>
      </c>
      <c r="I416" t="s">
        <v>26</v>
      </c>
      <c r="J416" t="s">
        <v>24</v>
      </c>
      <c r="K416" t="s">
        <v>46</v>
      </c>
      <c r="L416" t="s">
        <v>515</v>
      </c>
      <c r="M416" t="s">
        <v>24</v>
      </c>
      <c r="N416">
        <f>IF(Table1[[#This Row],[Akhir]]&lt;Table1[[#This Row],[Awal]],(Table1[[#This Row],[Akhir]]+1)-Table1[[#This Row],[Awal]],Table1[[#This Row],[Akhir]]-Table1[[#This Row],[Awal]])*24</f>
        <v>3.4999999999999996</v>
      </c>
      <c r="O416" t="str">
        <f>IF(Table1[[#This Row],[Duration Real]]&gt;=6,"Major",
IF(Table1[[#This Row],[Duration Real]]&gt;=2,"Medium","Minor"))</f>
        <v>Medium</v>
      </c>
    </row>
    <row r="417" spans="1:15" x14ac:dyDescent="0.35">
      <c r="A417" s="2">
        <v>46156</v>
      </c>
      <c r="B417" t="s">
        <v>15</v>
      </c>
      <c r="C417" t="s">
        <v>41</v>
      </c>
      <c r="D417" t="s">
        <v>435</v>
      </c>
      <c r="E417" t="s">
        <v>34</v>
      </c>
      <c r="F417" s="3">
        <v>0.25</v>
      </c>
      <c r="G417" s="4">
        <v>0.75</v>
      </c>
      <c r="H417" s="5" t="s">
        <v>19</v>
      </c>
      <c r="I417" t="s">
        <v>26</v>
      </c>
      <c r="J417" t="s">
        <v>24</v>
      </c>
      <c r="K417" t="s">
        <v>39</v>
      </c>
      <c r="L417" t="s">
        <v>43</v>
      </c>
      <c r="M417" t="s">
        <v>24</v>
      </c>
      <c r="N417">
        <f>IF(Table1[[#This Row],[Akhir]]&lt;Table1[[#This Row],[Awal]],(Table1[[#This Row],[Akhir]]+1)-Table1[[#This Row],[Awal]],Table1[[#This Row],[Akhir]]-Table1[[#This Row],[Awal]])*24</f>
        <v>12</v>
      </c>
      <c r="O417" t="str">
        <f>IF(Table1[[#This Row],[Duration Real]]&gt;=6,"Major",
IF(Table1[[#This Row],[Duration Real]]&gt;=2,"Medium","Minor"))</f>
        <v>Major</v>
      </c>
    </row>
    <row r="418" spans="1:15" x14ac:dyDescent="0.35">
      <c r="A418" s="2">
        <v>46156</v>
      </c>
      <c r="B418" t="s">
        <v>15</v>
      </c>
      <c r="C418" t="s">
        <v>41</v>
      </c>
      <c r="D418" t="s">
        <v>435</v>
      </c>
      <c r="E418" t="s">
        <v>34</v>
      </c>
      <c r="F418" s="3">
        <v>0.75</v>
      </c>
      <c r="G418" s="4">
        <v>0.25</v>
      </c>
      <c r="H418" s="5" t="s">
        <v>19</v>
      </c>
      <c r="I418" t="s">
        <v>20</v>
      </c>
      <c r="J418" t="s">
        <v>24</v>
      </c>
      <c r="K418" t="s">
        <v>39</v>
      </c>
      <c r="L418" t="s">
        <v>43</v>
      </c>
      <c r="M418" t="s">
        <v>24</v>
      </c>
      <c r="N418">
        <f>IF(Table1[[#This Row],[Akhir]]&lt;Table1[[#This Row],[Awal]],(Table1[[#This Row],[Akhir]]+1)-Table1[[#This Row],[Awal]],Table1[[#This Row],[Akhir]]-Table1[[#This Row],[Awal]])*24</f>
        <v>12</v>
      </c>
      <c r="O418" t="str">
        <f>IF(Table1[[#This Row],[Duration Real]]&gt;=6,"Major",
IF(Table1[[#This Row],[Duration Real]]&gt;=2,"Medium","Minor"))</f>
        <v>Major</v>
      </c>
    </row>
    <row r="419" spans="1:15" x14ac:dyDescent="0.35">
      <c r="A419" s="2">
        <v>46156</v>
      </c>
      <c r="B419" t="s">
        <v>15</v>
      </c>
      <c r="C419" t="s">
        <v>44</v>
      </c>
      <c r="D419" t="s">
        <v>45</v>
      </c>
      <c r="E419" t="s">
        <v>34</v>
      </c>
      <c r="F419" s="3">
        <v>0.25</v>
      </c>
      <c r="G419" s="4">
        <v>0.75</v>
      </c>
      <c r="H419" s="5" t="s">
        <v>19</v>
      </c>
      <c r="I419" t="s">
        <v>26</v>
      </c>
      <c r="J419" t="s">
        <v>24</v>
      </c>
      <c r="K419" t="s">
        <v>46</v>
      </c>
      <c r="L419" t="s">
        <v>47</v>
      </c>
      <c r="M419" t="s">
        <v>24</v>
      </c>
      <c r="N419">
        <f>IF(Table1[[#This Row],[Akhir]]&lt;Table1[[#This Row],[Awal]],(Table1[[#This Row],[Akhir]]+1)-Table1[[#This Row],[Awal]],Table1[[#This Row],[Akhir]]-Table1[[#This Row],[Awal]])*24</f>
        <v>12</v>
      </c>
      <c r="O419" t="str">
        <f>IF(Table1[[#This Row],[Duration Real]]&gt;=6,"Major",
IF(Table1[[#This Row],[Duration Real]]&gt;=2,"Medium","Minor"))</f>
        <v>Major</v>
      </c>
    </row>
    <row r="420" spans="1:15" x14ac:dyDescent="0.35">
      <c r="A420" s="2">
        <v>46156</v>
      </c>
      <c r="B420" t="s">
        <v>15</v>
      </c>
      <c r="C420" t="s">
        <v>44</v>
      </c>
      <c r="D420" t="s">
        <v>45</v>
      </c>
      <c r="E420" t="s">
        <v>34</v>
      </c>
      <c r="F420" s="3">
        <v>0.75</v>
      </c>
      <c r="G420" s="4">
        <v>0.25</v>
      </c>
      <c r="H420" s="5" t="s">
        <v>19</v>
      </c>
      <c r="I420" t="s">
        <v>20</v>
      </c>
      <c r="J420" t="s">
        <v>24</v>
      </c>
      <c r="K420" t="s">
        <v>46</v>
      </c>
      <c r="L420" t="s">
        <v>47</v>
      </c>
      <c r="M420" t="s">
        <v>24</v>
      </c>
      <c r="N420">
        <f>IF(Table1[[#This Row],[Akhir]]&lt;Table1[[#This Row],[Awal]],(Table1[[#This Row],[Akhir]]+1)-Table1[[#This Row],[Awal]],Table1[[#This Row],[Akhir]]-Table1[[#This Row],[Awal]])*24</f>
        <v>12</v>
      </c>
      <c r="O420" t="str">
        <f>IF(Table1[[#This Row],[Duration Real]]&gt;=6,"Major",
IF(Table1[[#This Row],[Duration Real]]&gt;=2,"Medium","Minor"))</f>
        <v>Major</v>
      </c>
    </row>
    <row r="421" spans="1:15" x14ac:dyDescent="0.35">
      <c r="A421" s="2">
        <v>46156</v>
      </c>
      <c r="B421" t="s">
        <v>15</v>
      </c>
      <c r="C421" t="s">
        <v>48</v>
      </c>
      <c r="D421" t="s">
        <v>119</v>
      </c>
      <c r="E421" t="s">
        <v>161</v>
      </c>
      <c r="F421" s="3">
        <v>0.30416666666666664</v>
      </c>
      <c r="G421" s="4">
        <v>0.41388888888888886</v>
      </c>
      <c r="H421" s="5" t="s">
        <v>19</v>
      </c>
      <c r="I421" t="s">
        <v>26</v>
      </c>
      <c r="J421" t="s">
        <v>24</v>
      </c>
      <c r="K421" t="s">
        <v>107</v>
      </c>
      <c r="L421" t="s">
        <v>516</v>
      </c>
      <c r="M421" t="s">
        <v>24</v>
      </c>
      <c r="N421">
        <f>IF(Table1[[#This Row],[Akhir]]&lt;Table1[[#This Row],[Awal]],(Table1[[#This Row],[Akhir]]+1)-Table1[[#This Row],[Awal]],Table1[[#This Row],[Akhir]]-Table1[[#This Row],[Awal]])*24</f>
        <v>2.6333333333333333</v>
      </c>
      <c r="O421" t="str">
        <f>IF(Table1[[#This Row],[Duration Real]]&gt;=6,"Major",
IF(Table1[[#This Row],[Duration Real]]&gt;=2,"Medium","Minor"))</f>
        <v>Medium</v>
      </c>
    </row>
    <row r="422" spans="1:15" x14ac:dyDescent="0.35">
      <c r="A422" s="2">
        <v>46156</v>
      </c>
      <c r="B422" t="s">
        <v>15</v>
      </c>
      <c r="C422" t="s">
        <v>52</v>
      </c>
      <c r="D422" t="s">
        <v>517</v>
      </c>
      <c r="E422" t="s">
        <v>417</v>
      </c>
      <c r="F422" s="3">
        <v>0.25</v>
      </c>
      <c r="G422" s="4">
        <v>0.3</v>
      </c>
      <c r="H422" s="5" t="s">
        <v>19</v>
      </c>
      <c r="I422" t="s">
        <v>26</v>
      </c>
      <c r="J422" t="s">
        <v>24</v>
      </c>
      <c r="K422" t="s">
        <v>39</v>
      </c>
      <c r="L422" t="s">
        <v>43</v>
      </c>
      <c r="M422" t="s">
        <v>24</v>
      </c>
      <c r="N422">
        <f>IF(Table1[[#This Row],[Akhir]]&lt;Table1[[#This Row],[Awal]],(Table1[[#This Row],[Akhir]]+1)-Table1[[#This Row],[Awal]],Table1[[#This Row],[Akhir]]-Table1[[#This Row],[Awal]])*24</f>
        <v>1.1999999999999997</v>
      </c>
      <c r="O422" t="str">
        <f>IF(Table1[[#This Row],[Duration Real]]&gt;=6,"Major",
IF(Table1[[#This Row],[Duration Real]]&gt;=2,"Medium","Minor"))</f>
        <v>Minor</v>
      </c>
    </row>
    <row r="423" spans="1:15" x14ac:dyDescent="0.35">
      <c r="A423" s="2">
        <v>46156</v>
      </c>
      <c r="B423" t="s">
        <v>15</v>
      </c>
      <c r="C423" t="s">
        <v>64</v>
      </c>
      <c r="D423" t="s">
        <v>89</v>
      </c>
      <c r="E423" t="s">
        <v>518</v>
      </c>
      <c r="F423" s="3">
        <v>0.59236111111111112</v>
      </c>
      <c r="G423" s="4">
        <v>0.6958333333333333</v>
      </c>
      <c r="H423" s="5" t="s">
        <v>19</v>
      </c>
      <c r="I423" t="s">
        <v>26</v>
      </c>
      <c r="J423" t="s">
        <v>24</v>
      </c>
      <c r="K423" t="s">
        <v>22</v>
      </c>
      <c r="L423" t="s">
        <v>519</v>
      </c>
      <c r="M423" t="s">
        <v>24</v>
      </c>
      <c r="N423">
        <f>IF(Table1[[#This Row],[Akhir]]&lt;Table1[[#This Row],[Awal]],(Table1[[#This Row],[Akhir]]+1)-Table1[[#This Row],[Awal]],Table1[[#This Row],[Akhir]]-Table1[[#This Row],[Awal]])*24</f>
        <v>2.4833333333333325</v>
      </c>
      <c r="O423" t="str">
        <f>IF(Table1[[#This Row],[Duration Real]]&gt;=6,"Major",
IF(Table1[[#This Row],[Duration Real]]&gt;=2,"Medium","Minor"))</f>
        <v>Medium</v>
      </c>
    </row>
    <row r="424" spans="1:15" x14ac:dyDescent="0.35">
      <c r="A424" s="2">
        <v>46156</v>
      </c>
      <c r="B424" t="s">
        <v>15</v>
      </c>
      <c r="C424" t="s">
        <v>85</v>
      </c>
      <c r="D424" t="s">
        <v>86</v>
      </c>
      <c r="E424" t="s">
        <v>34</v>
      </c>
      <c r="F424" s="3">
        <v>0.25</v>
      </c>
      <c r="G424" s="4">
        <v>0.75</v>
      </c>
      <c r="H424" s="5" t="s">
        <v>19</v>
      </c>
      <c r="I424" t="s">
        <v>26</v>
      </c>
      <c r="J424" t="s">
        <v>24</v>
      </c>
      <c r="K424" t="s">
        <v>22</v>
      </c>
      <c r="L424" t="s">
        <v>87</v>
      </c>
      <c r="M424" t="s">
        <v>24</v>
      </c>
      <c r="N424">
        <f>IF(Table1[[#This Row],[Akhir]]&lt;Table1[[#This Row],[Awal]],(Table1[[#This Row],[Akhir]]+1)-Table1[[#This Row],[Awal]],Table1[[#This Row],[Akhir]]-Table1[[#This Row],[Awal]])*24</f>
        <v>12</v>
      </c>
      <c r="O424" t="str">
        <f>IF(Table1[[#This Row],[Duration Real]]&gt;=6,"Major",
IF(Table1[[#This Row],[Duration Real]]&gt;=2,"Medium","Minor"))</f>
        <v>Major</v>
      </c>
    </row>
    <row r="425" spans="1:15" x14ac:dyDescent="0.35">
      <c r="A425" s="2">
        <v>46156</v>
      </c>
      <c r="B425" t="s">
        <v>15</v>
      </c>
      <c r="C425" t="s">
        <v>85</v>
      </c>
      <c r="D425" t="s">
        <v>86</v>
      </c>
      <c r="E425" t="s">
        <v>34</v>
      </c>
      <c r="F425" s="3">
        <v>0.75</v>
      </c>
      <c r="G425" s="4">
        <v>0.25</v>
      </c>
      <c r="H425" s="5" t="s">
        <v>19</v>
      </c>
      <c r="I425" t="s">
        <v>20</v>
      </c>
      <c r="J425" t="s">
        <v>24</v>
      </c>
      <c r="K425" t="s">
        <v>22</v>
      </c>
      <c r="L425" t="s">
        <v>87</v>
      </c>
      <c r="M425" t="s">
        <v>24</v>
      </c>
      <c r="N425">
        <f>IF(Table1[[#This Row],[Akhir]]&lt;Table1[[#This Row],[Awal]],(Table1[[#This Row],[Akhir]]+1)-Table1[[#This Row],[Awal]],Table1[[#This Row],[Akhir]]-Table1[[#This Row],[Awal]])*24</f>
        <v>12</v>
      </c>
      <c r="O425" t="str">
        <f>IF(Table1[[#This Row],[Duration Real]]&gt;=6,"Major",
IF(Table1[[#This Row],[Duration Real]]&gt;=2,"Medium","Minor"))</f>
        <v>Major</v>
      </c>
    </row>
    <row r="426" spans="1:15" x14ac:dyDescent="0.35">
      <c r="A426" s="2">
        <v>46156</v>
      </c>
      <c r="B426" t="s">
        <v>15</v>
      </c>
      <c r="C426" t="s">
        <v>88</v>
      </c>
      <c r="D426" t="s">
        <v>442</v>
      </c>
      <c r="E426" t="s">
        <v>34</v>
      </c>
      <c r="F426" s="3">
        <v>0.25</v>
      </c>
      <c r="G426" s="4">
        <v>0.75</v>
      </c>
      <c r="H426" s="5" t="s">
        <v>19</v>
      </c>
      <c r="I426" t="s">
        <v>26</v>
      </c>
      <c r="J426" t="s">
        <v>24</v>
      </c>
      <c r="K426" t="s">
        <v>22</v>
      </c>
      <c r="L426" t="s">
        <v>23</v>
      </c>
      <c r="M426" t="s">
        <v>24</v>
      </c>
      <c r="N426">
        <f>IF(Table1[[#This Row],[Akhir]]&lt;Table1[[#This Row],[Awal]],(Table1[[#This Row],[Akhir]]+1)-Table1[[#This Row],[Awal]],Table1[[#This Row],[Akhir]]-Table1[[#This Row],[Awal]])*24</f>
        <v>12</v>
      </c>
      <c r="O426" t="str">
        <f>IF(Table1[[#This Row],[Duration Real]]&gt;=6,"Major",
IF(Table1[[#This Row],[Duration Real]]&gt;=2,"Medium","Minor"))</f>
        <v>Major</v>
      </c>
    </row>
    <row r="427" spans="1:15" x14ac:dyDescent="0.35">
      <c r="A427" s="2">
        <v>46156</v>
      </c>
      <c r="B427" t="s">
        <v>15</v>
      </c>
      <c r="C427" t="s">
        <v>88</v>
      </c>
      <c r="D427" t="s">
        <v>442</v>
      </c>
      <c r="E427" t="s">
        <v>34</v>
      </c>
      <c r="F427" s="3">
        <v>0.75</v>
      </c>
      <c r="G427" s="4">
        <v>0.25</v>
      </c>
      <c r="H427" s="5" t="s">
        <v>19</v>
      </c>
      <c r="I427" t="s">
        <v>20</v>
      </c>
      <c r="J427" t="s">
        <v>24</v>
      </c>
      <c r="K427" t="s">
        <v>22</v>
      </c>
      <c r="L427" t="s">
        <v>23</v>
      </c>
      <c r="M427" t="s">
        <v>24</v>
      </c>
      <c r="N427">
        <f>IF(Table1[[#This Row],[Akhir]]&lt;Table1[[#This Row],[Awal]],(Table1[[#This Row],[Akhir]]+1)-Table1[[#This Row],[Awal]],Table1[[#This Row],[Akhir]]-Table1[[#This Row],[Awal]])*24</f>
        <v>12</v>
      </c>
      <c r="O427" t="str">
        <f>IF(Table1[[#This Row],[Duration Real]]&gt;=6,"Major",
IF(Table1[[#This Row],[Duration Real]]&gt;=2,"Medium","Minor"))</f>
        <v>Major</v>
      </c>
    </row>
    <row r="428" spans="1:15" x14ac:dyDescent="0.35">
      <c r="A428" s="2">
        <v>46156</v>
      </c>
      <c r="B428" t="s">
        <v>94</v>
      </c>
      <c r="C428" t="s">
        <v>95</v>
      </c>
      <c r="D428" t="s">
        <v>520</v>
      </c>
      <c r="E428" t="s">
        <v>288</v>
      </c>
      <c r="F428" s="3">
        <v>0.75</v>
      </c>
      <c r="G428" s="4">
        <v>0.77708333333333335</v>
      </c>
      <c r="H428" s="5" t="s">
        <v>19</v>
      </c>
      <c r="I428" t="s">
        <v>20</v>
      </c>
      <c r="J428" t="s">
        <v>24</v>
      </c>
      <c r="K428" t="s">
        <v>22</v>
      </c>
      <c r="L428" t="s">
        <v>43</v>
      </c>
      <c r="M428" t="s">
        <v>24</v>
      </c>
      <c r="N428">
        <f>IF(Table1[[#This Row],[Akhir]]&lt;Table1[[#This Row],[Awal]],(Table1[[#This Row],[Akhir]]+1)-Table1[[#This Row],[Awal]],Table1[[#This Row],[Akhir]]-Table1[[#This Row],[Awal]])*24</f>
        <v>0.65000000000000036</v>
      </c>
      <c r="O428" t="str">
        <f>IF(Table1[[#This Row],[Duration Real]]&gt;=6,"Major",
IF(Table1[[#This Row],[Duration Real]]&gt;=2,"Medium","Minor"))</f>
        <v>Minor</v>
      </c>
    </row>
    <row r="429" spans="1:15" x14ac:dyDescent="0.35">
      <c r="A429" s="2">
        <v>46156</v>
      </c>
      <c r="B429" t="s">
        <v>94</v>
      </c>
      <c r="C429" t="s">
        <v>95</v>
      </c>
      <c r="D429" t="s">
        <v>520</v>
      </c>
      <c r="E429" t="s">
        <v>302</v>
      </c>
      <c r="F429" s="3">
        <v>0.69166666666666665</v>
      </c>
      <c r="G429" s="4">
        <v>0.75</v>
      </c>
      <c r="H429" s="5" t="s">
        <v>19</v>
      </c>
      <c r="I429" t="s">
        <v>26</v>
      </c>
      <c r="J429" t="s">
        <v>24</v>
      </c>
      <c r="K429" t="s">
        <v>22</v>
      </c>
      <c r="L429" t="s">
        <v>43</v>
      </c>
      <c r="M429" t="s">
        <v>24</v>
      </c>
      <c r="N429">
        <f>IF(Table1[[#This Row],[Akhir]]&lt;Table1[[#This Row],[Awal]],(Table1[[#This Row],[Akhir]]+1)-Table1[[#This Row],[Awal]],Table1[[#This Row],[Akhir]]-Table1[[#This Row],[Awal]])*24</f>
        <v>1.4000000000000004</v>
      </c>
      <c r="O429" t="str">
        <f>IF(Table1[[#This Row],[Duration Real]]&gt;=6,"Major",
IF(Table1[[#This Row],[Duration Real]]&gt;=2,"Medium","Minor"))</f>
        <v>Minor</v>
      </c>
    </row>
    <row r="430" spans="1:15" x14ac:dyDescent="0.35">
      <c r="A430" s="2">
        <v>46156</v>
      </c>
      <c r="B430" t="s">
        <v>94</v>
      </c>
      <c r="C430" t="s">
        <v>99</v>
      </c>
      <c r="D430" t="s">
        <v>521</v>
      </c>
      <c r="E430" t="s">
        <v>125</v>
      </c>
      <c r="F430" s="3">
        <v>0.25</v>
      </c>
      <c r="G430" s="4">
        <v>0.27638888888888891</v>
      </c>
      <c r="H430" s="5" t="s">
        <v>19</v>
      </c>
      <c r="I430" t="s">
        <v>26</v>
      </c>
      <c r="J430" t="s">
        <v>24</v>
      </c>
      <c r="K430" t="s">
        <v>39</v>
      </c>
      <c r="L430" t="s">
        <v>43</v>
      </c>
      <c r="M430" t="s">
        <v>24</v>
      </c>
      <c r="N430">
        <f>IF(Table1[[#This Row],[Akhir]]&lt;Table1[[#This Row],[Awal]],(Table1[[#This Row],[Akhir]]+1)-Table1[[#This Row],[Awal]],Table1[[#This Row],[Akhir]]-Table1[[#This Row],[Awal]])*24</f>
        <v>0.63333333333333375</v>
      </c>
      <c r="O430" t="str">
        <f>IF(Table1[[#This Row],[Duration Real]]&gt;=6,"Major",
IF(Table1[[#This Row],[Duration Real]]&gt;=2,"Medium","Minor"))</f>
        <v>Minor</v>
      </c>
    </row>
    <row r="431" spans="1:15" x14ac:dyDescent="0.35">
      <c r="A431" s="2">
        <v>46156</v>
      </c>
      <c r="B431" t="s">
        <v>94</v>
      </c>
      <c r="C431" t="s">
        <v>99</v>
      </c>
      <c r="D431" t="s">
        <v>502</v>
      </c>
      <c r="E431" t="s">
        <v>522</v>
      </c>
      <c r="F431" s="3">
        <v>0.7993055555555556</v>
      </c>
      <c r="G431" s="4">
        <v>0.81458333333333333</v>
      </c>
      <c r="H431" s="5" t="s">
        <v>19</v>
      </c>
      <c r="I431" t="s">
        <v>20</v>
      </c>
      <c r="J431" t="s">
        <v>523</v>
      </c>
      <c r="K431" t="s">
        <v>22</v>
      </c>
      <c r="L431" t="s">
        <v>143</v>
      </c>
      <c r="M431" t="s">
        <v>24</v>
      </c>
      <c r="N431">
        <f>IF(Table1[[#This Row],[Akhir]]&lt;Table1[[#This Row],[Awal]],(Table1[[#This Row],[Akhir]]+1)-Table1[[#This Row],[Awal]],Table1[[#This Row],[Akhir]]-Table1[[#This Row],[Awal]])*24</f>
        <v>0.36666666666666536</v>
      </c>
      <c r="O431" t="str">
        <f>IF(Table1[[#This Row],[Duration Real]]&gt;=6,"Major",
IF(Table1[[#This Row],[Duration Real]]&gt;=2,"Medium","Minor"))</f>
        <v>Minor</v>
      </c>
    </row>
    <row r="432" spans="1:15" x14ac:dyDescent="0.35">
      <c r="A432" s="2">
        <v>46156</v>
      </c>
      <c r="B432" t="s">
        <v>94</v>
      </c>
      <c r="C432" t="s">
        <v>99</v>
      </c>
      <c r="D432" t="s">
        <v>502</v>
      </c>
      <c r="E432" t="s">
        <v>288</v>
      </c>
      <c r="F432" s="3">
        <v>0.75</v>
      </c>
      <c r="G432" s="4">
        <v>0.77708333333333335</v>
      </c>
      <c r="H432" s="5" t="s">
        <v>19</v>
      </c>
      <c r="I432" t="s">
        <v>20</v>
      </c>
      <c r="J432" t="s">
        <v>524</v>
      </c>
      <c r="K432" t="s">
        <v>22</v>
      </c>
      <c r="L432" t="s">
        <v>379</v>
      </c>
      <c r="M432" t="s">
        <v>24</v>
      </c>
      <c r="N432">
        <f>IF(Table1[[#This Row],[Akhir]]&lt;Table1[[#This Row],[Awal]],(Table1[[#This Row],[Akhir]]+1)-Table1[[#This Row],[Awal]],Table1[[#This Row],[Akhir]]-Table1[[#This Row],[Awal]])*24</f>
        <v>0.65000000000000036</v>
      </c>
      <c r="O432" t="str">
        <f>IF(Table1[[#This Row],[Duration Real]]&gt;=6,"Major",
IF(Table1[[#This Row],[Duration Real]]&gt;=2,"Medium","Minor"))</f>
        <v>Minor</v>
      </c>
    </row>
    <row r="433" spans="1:15" x14ac:dyDescent="0.35">
      <c r="A433" s="2">
        <v>46156</v>
      </c>
      <c r="B433" t="s">
        <v>94</v>
      </c>
      <c r="C433" t="s">
        <v>99</v>
      </c>
      <c r="D433" t="s">
        <v>502</v>
      </c>
      <c r="E433" t="s">
        <v>525</v>
      </c>
      <c r="F433" s="3">
        <v>0.62013888888888891</v>
      </c>
      <c r="G433" s="4">
        <v>0.75</v>
      </c>
      <c r="H433" s="5" t="s">
        <v>19</v>
      </c>
      <c r="I433" t="s">
        <v>26</v>
      </c>
      <c r="J433" t="s">
        <v>524</v>
      </c>
      <c r="K433" t="s">
        <v>22</v>
      </c>
      <c r="L433" t="s">
        <v>379</v>
      </c>
      <c r="M433" t="s">
        <v>24</v>
      </c>
      <c r="N433">
        <f>IF(Table1[[#This Row],[Akhir]]&lt;Table1[[#This Row],[Awal]],(Table1[[#This Row],[Akhir]]+1)-Table1[[#This Row],[Awal]],Table1[[#This Row],[Akhir]]-Table1[[#This Row],[Awal]])*24</f>
        <v>3.1166666666666663</v>
      </c>
      <c r="O433" t="str">
        <f>IF(Table1[[#This Row],[Duration Real]]&gt;=6,"Major",
IF(Table1[[#This Row],[Duration Real]]&gt;=2,"Medium","Minor"))</f>
        <v>Medium</v>
      </c>
    </row>
    <row r="434" spans="1:15" x14ac:dyDescent="0.35">
      <c r="A434" s="2">
        <v>46156</v>
      </c>
      <c r="B434" t="s">
        <v>94</v>
      </c>
      <c r="C434" t="s">
        <v>101</v>
      </c>
      <c r="D434" t="s">
        <v>102</v>
      </c>
      <c r="E434" t="s">
        <v>34</v>
      </c>
      <c r="F434" s="3">
        <v>0.25</v>
      </c>
      <c r="G434" s="4">
        <v>0.75</v>
      </c>
      <c r="H434" s="5" t="s">
        <v>19</v>
      </c>
      <c r="I434" t="s">
        <v>26</v>
      </c>
      <c r="J434" t="s">
        <v>24</v>
      </c>
      <c r="K434" t="s">
        <v>22</v>
      </c>
      <c r="L434" t="s">
        <v>23</v>
      </c>
      <c r="M434" t="s">
        <v>24</v>
      </c>
      <c r="N434">
        <f>IF(Table1[[#This Row],[Akhir]]&lt;Table1[[#This Row],[Awal]],(Table1[[#This Row],[Akhir]]+1)-Table1[[#This Row],[Awal]],Table1[[#This Row],[Akhir]]-Table1[[#This Row],[Awal]])*24</f>
        <v>12</v>
      </c>
      <c r="O434" t="str">
        <f>IF(Table1[[#This Row],[Duration Real]]&gt;=6,"Major",
IF(Table1[[#This Row],[Duration Real]]&gt;=2,"Medium","Minor"))</f>
        <v>Major</v>
      </c>
    </row>
    <row r="435" spans="1:15" x14ac:dyDescent="0.35">
      <c r="A435" s="2">
        <v>46156</v>
      </c>
      <c r="B435" t="s">
        <v>94</v>
      </c>
      <c r="C435" t="s">
        <v>101</v>
      </c>
      <c r="D435" t="s">
        <v>102</v>
      </c>
      <c r="E435" t="s">
        <v>34</v>
      </c>
      <c r="F435" s="3">
        <v>0.75</v>
      </c>
      <c r="G435" s="4">
        <v>0.25</v>
      </c>
      <c r="H435" s="5" t="s">
        <v>19</v>
      </c>
      <c r="I435" t="s">
        <v>20</v>
      </c>
      <c r="J435" t="s">
        <v>24</v>
      </c>
      <c r="K435" t="s">
        <v>22</v>
      </c>
      <c r="L435" t="s">
        <v>23</v>
      </c>
      <c r="M435" t="s">
        <v>24</v>
      </c>
      <c r="N435">
        <f>IF(Table1[[#This Row],[Akhir]]&lt;Table1[[#This Row],[Awal]],(Table1[[#This Row],[Akhir]]+1)-Table1[[#This Row],[Awal]],Table1[[#This Row],[Akhir]]-Table1[[#This Row],[Awal]])*24</f>
        <v>12</v>
      </c>
      <c r="O435" t="str">
        <f>IF(Table1[[#This Row],[Duration Real]]&gt;=6,"Major",
IF(Table1[[#This Row],[Duration Real]]&gt;=2,"Medium","Minor"))</f>
        <v>Major</v>
      </c>
    </row>
    <row r="436" spans="1:15" x14ac:dyDescent="0.35">
      <c r="A436" s="2">
        <v>46157</v>
      </c>
      <c r="B436" t="s">
        <v>15</v>
      </c>
      <c r="C436" t="s">
        <v>16</v>
      </c>
      <c r="D436" t="s">
        <v>526</v>
      </c>
      <c r="E436" t="s">
        <v>284</v>
      </c>
      <c r="F436" s="3">
        <v>0.90277777777777779</v>
      </c>
      <c r="G436" s="4">
        <v>0.93125000000000002</v>
      </c>
      <c r="H436" s="5" t="s">
        <v>19</v>
      </c>
      <c r="I436" t="s">
        <v>20</v>
      </c>
      <c r="J436" t="s">
        <v>24</v>
      </c>
      <c r="K436" t="s">
        <v>22</v>
      </c>
      <c r="L436" t="s">
        <v>527</v>
      </c>
      <c r="M436" t="s">
        <v>24</v>
      </c>
      <c r="N436">
        <f>IF(Table1[[#This Row],[Akhir]]&lt;Table1[[#This Row],[Awal]],(Table1[[#This Row],[Akhir]]+1)-Table1[[#This Row],[Awal]],Table1[[#This Row],[Akhir]]-Table1[[#This Row],[Awal]])*24</f>
        <v>0.68333333333333357</v>
      </c>
      <c r="O436" t="str">
        <f>IF(Table1[[#This Row],[Duration Real]]&gt;=6,"Major",
IF(Table1[[#This Row],[Duration Real]]&gt;=2,"Medium","Minor"))</f>
        <v>Minor</v>
      </c>
    </row>
    <row r="437" spans="1:15" x14ac:dyDescent="0.35">
      <c r="A437" s="2">
        <v>46157</v>
      </c>
      <c r="B437" t="s">
        <v>15</v>
      </c>
      <c r="C437" t="s">
        <v>16</v>
      </c>
      <c r="D437" t="s">
        <v>37</v>
      </c>
      <c r="E437" t="s">
        <v>528</v>
      </c>
      <c r="F437" s="3">
        <v>0.78333333333333333</v>
      </c>
      <c r="G437" s="4">
        <v>0.80625000000000002</v>
      </c>
      <c r="H437" s="5" t="s">
        <v>19</v>
      </c>
      <c r="I437" t="s">
        <v>20</v>
      </c>
      <c r="J437" t="s">
        <v>24</v>
      </c>
      <c r="K437" t="s">
        <v>39</v>
      </c>
      <c r="L437" t="s">
        <v>366</v>
      </c>
      <c r="M437" t="s">
        <v>24</v>
      </c>
      <c r="N437">
        <f>IF(Table1[[#This Row],[Akhir]]&lt;Table1[[#This Row],[Awal]],(Table1[[#This Row],[Akhir]]+1)-Table1[[#This Row],[Awal]],Table1[[#This Row],[Akhir]]-Table1[[#This Row],[Awal]])*24</f>
        <v>0.55000000000000071</v>
      </c>
      <c r="O437" t="str">
        <f>IF(Table1[[#This Row],[Duration Real]]&gt;=6,"Major",
IF(Table1[[#This Row],[Duration Real]]&gt;=2,"Medium","Minor"))</f>
        <v>Minor</v>
      </c>
    </row>
    <row r="438" spans="1:15" x14ac:dyDescent="0.35">
      <c r="A438" s="2">
        <v>46157</v>
      </c>
      <c r="B438" t="s">
        <v>15</v>
      </c>
      <c r="C438" t="s">
        <v>28</v>
      </c>
      <c r="D438" t="s">
        <v>313</v>
      </c>
      <c r="E438" t="s">
        <v>529</v>
      </c>
      <c r="F438" s="3">
        <v>0.94374999999999998</v>
      </c>
      <c r="G438" s="4">
        <v>4.583333333333333E-2</v>
      </c>
      <c r="H438" s="5" t="s">
        <v>19</v>
      </c>
      <c r="I438" t="s">
        <v>20</v>
      </c>
      <c r="J438" t="s">
        <v>24</v>
      </c>
      <c r="K438" t="s">
        <v>22</v>
      </c>
      <c r="L438" t="s">
        <v>23</v>
      </c>
      <c r="M438" t="s">
        <v>24</v>
      </c>
      <c r="N438">
        <f>IF(Table1[[#This Row],[Akhir]]&lt;Table1[[#This Row],[Awal]],(Table1[[#This Row],[Akhir]]+1)-Table1[[#This Row],[Awal]],Table1[[#This Row],[Akhir]]-Table1[[#This Row],[Awal]])*24</f>
        <v>2.450000000000002</v>
      </c>
      <c r="O438" t="str">
        <f>IF(Table1[[#This Row],[Duration Real]]&gt;=6,"Major",
IF(Table1[[#This Row],[Duration Real]]&gt;=2,"Medium","Minor"))</f>
        <v>Medium</v>
      </c>
    </row>
    <row r="439" spans="1:15" x14ac:dyDescent="0.35">
      <c r="A439" s="2">
        <v>46157</v>
      </c>
      <c r="B439" t="s">
        <v>15</v>
      </c>
      <c r="C439" t="s">
        <v>28</v>
      </c>
      <c r="D439" t="s">
        <v>510</v>
      </c>
      <c r="E439" t="s">
        <v>530</v>
      </c>
      <c r="F439" s="3">
        <v>0.25</v>
      </c>
      <c r="G439" s="4">
        <v>0.69791666666666663</v>
      </c>
      <c r="H439" s="5" t="s">
        <v>358</v>
      </c>
      <c r="I439" t="s">
        <v>26</v>
      </c>
      <c r="J439" t="s">
        <v>24</v>
      </c>
      <c r="K439" t="s">
        <v>22</v>
      </c>
      <c r="L439" t="s">
        <v>39</v>
      </c>
      <c r="M439" t="s">
        <v>24</v>
      </c>
      <c r="N439">
        <f>IF(Table1[[#This Row],[Akhir]]&lt;Table1[[#This Row],[Awal]],(Table1[[#This Row],[Akhir]]+1)-Table1[[#This Row],[Awal]],Table1[[#This Row],[Akhir]]-Table1[[#This Row],[Awal]])*24</f>
        <v>10.75</v>
      </c>
      <c r="O439" t="str">
        <f>IF(Table1[[#This Row],[Duration Real]]&gt;=6,"Major",
IF(Table1[[#This Row],[Duration Real]]&gt;=2,"Medium","Minor"))</f>
        <v>Major</v>
      </c>
    </row>
    <row r="440" spans="1:15" x14ac:dyDescent="0.35">
      <c r="A440" s="2">
        <v>46157</v>
      </c>
      <c r="B440" t="s">
        <v>15</v>
      </c>
      <c r="C440" t="s">
        <v>32</v>
      </c>
      <c r="D440" t="s">
        <v>428</v>
      </c>
      <c r="E440" t="s">
        <v>34</v>
      </c>
      <c r="F440" s="3">
        <v>0.25</v>
      </c>
      <c r="G440" s="4">
        <v>0.75</v>
      </c>
      <c r="H440" s="5" t="s">
        <v>19</v>
      </c>
      <c r="I440" t="s">
        <v>26</v>
      </c>
      <c r="J440" t="s">
        <v>24</v>
      </c>
      <c r="K440" t="s">
        <v>22</v>
      </c>
      <c r="L440" t="s">
        <v>43</v>
      </c>
      <c r="M440" t="s">
        <v>24</v>
      </c>
      <c r="N440">
        <f>IF(Table1[[#This Row],[Akhir]]&lt;Table1[[#This Row],[Awal]],(Table1[[#This Row],[Akhir]]+1)-Table1[[#This Row],[Awal]],Table1[[#This Row],[Akhir]]-Table1[[#This Row],[Awal]])*24</f>
        <v>12</v>
      </c>
      <c r="O440" t="str">
        <f>IF(Table1[[#This Row],[Duration Real]]&gt;=6,"Major",
IF(Table1[[#This Row],[Duration Real]]&gt;=2,"Medium","Minor"))</f>
        <v>Major</v>
      </c>
    </row>
    <row r="441" spans="1:15" x14ac:dyDescent="0.35">
      <c r="A441" s="2">
        <v>46157</v>
      </c>
      <c r="B441" t="s">
        <v>15</v>
      </c>
      <c r="C441" t="s">
        <v>32</v>
      </c>
      <c r="D441" t="s">
        <v>428</v>
      </c>
      <c r="E441" t="s">
        <v>34</v>
      </c>
      <c r="F441" s="3">
        <v>0.75</v>
      </c>
      <c r="G441" s="4">
        <v>0.25</v>
      </c>
      <c r="H441" s="5" t="s">
        <v>19</v>
      </c>
      <c r="I441" t="s">
        <v>20</v>
      </c>
      <c r="J441" t="s">
        <v>24</v>
      </c>
      <c r="K441" t="s">
        <v>22</v>
      </c>
      <c r="L441" t="s">
        <v>43</v>
      </c>
      <c r="M441" t="s">
        <v>24</v>
      </c>
      <c r="N441">
        <f>IF(Table1[[#This Row],[Akhir]]&lt;Table1[[#This Row],[Awal]],(Table1[[#This Row],[Akhir]]+1)-Table1[[#This Row],[Awal]],Table1[[#This Row],[Akhir]]-Table1[[#This Row],[Awal]])*24</f>
        <v>12</v>
      </c>
      <c r="O441" t="str">
        <f>IF(Table1[[#This Row],[Duration Real]]&gt;=6,"Major",
IF(Table1[[#This Row],[Duration Real]]&gt;=2,"Medium","Minor"))</f>
        <v>Major</v>
      </c>
    </row>
    <row r="442" spans="1:15" x14ac:dyDescent="0.35">
      <c r="A442" s="2">
        <v>46157</v>
      </c>
      <c r="B442" t="s">
        <v>15</v>
      </c>
      <c r="C442" t="s">
        <v>41</v>
      </c>
      <c r="D442" t="s">
        <v>435</v>
      </c>
      <c r="E442" t="s">
        <v>34</v>
      </c>
      <c r="F442" s="3">
        <v>0.25</v>
      </c>
      <c r="G442" s="4">
        <v>0.75</v>
      </c>
      <c r="H442" s="5" t="s">
        <v>19</v>
      </c>
      <c r="I442" t="s">
        <v>26</v>
      </c>
      <c r="J442" t="s">
        <v>24</v>
      </c>
      <c r="K442" t="s">
        <v>39</v>
      </c>
      <c r="L442" t="s">
        <v>43</v>
      </c>
      <c r="M442" t="s">
        <v>24</v>
      </c>
      <c r="N442">
        <f>IF(Table1[[#This Row],[Akhir]]&lt;Table1[[#This Row],[Awal]],(Table1[[#This Row],[Akhir]]+1)-Table1[[#This Row],[Awal]],Table1[[#This Row],[Akhir]]-Table1[[#This Row],[Awal]])*24</f>
        <v>12</v>
      </c>
      <c r="O442" t="str">
        <f>IF(Table1[[#This Row],[Duration Real]]&gt;=6,"Major",
IF(Table1[[#This Row],[Duration Real]]&gt;=2,"Medium","Minor"))</f>
        <v>Major</v>
      </c>
    </row>
    <row r="443" spans="1:15" x14ac:dyDescent="0.35">
      <c r="A443" s="2">
        <v>46157</v>
      </c>
      <c r="B443" t="s">
        <v>15</v>
      </c>
      <c r="C443" t="s">
        <v>41</v>
      </c>
      <c r="D443" t="s">
        <v>435</v>
      </c>
      <c r="E443" t="s">
        <v>34</v>
      </c>
      <c r="F443" s="3">
        <v>0.75</v>
      </c>
      <c r="G443" s="4">
        <v>0.25</v>
      </c>
      <c r="H443" s="5" t="s">
        <v>19</v>
      </c>
      <c r="I443" t="s">
        <v>20</v>
      </c>
      <c r="J443" t="s">
        <v>24</v>
      </c>
      <c r="K443" t="s">
        <v>39</v>
      </c>
      <c r="L443" t="s">
        <v>43</v>
      </c>
      <c r="M443" t="s">
        <v>24</v>
      </c>
      <c r="N443">
        <f>IF(Table1[[#This Row],[Akhir]]&lt;Table1[[#This Row],[Awal]],(Table1[[#This Row],[Akhir]]+1)-Table1[[#This Row],[Awal]],Table1[[#This Row],[Akhir]]-Table1[[#This Row],[Awal]])*24</f>
        <v>12</v>
      </c>
      <c r="O443" t="str">
        <f>IF(Table1[[#This Row],[Duration Real]]&gt;=6,"Major",
IF(Table1[[#This Row],[Duration Real]]&gt;=2,"Medium","Minor"))</f>
        <v>Major</v>
      </c>
    </row>
    <row r="444" spans="1:15" x14ac:dyDescent="0.35">
      <c r="A444" s="2">
        <v>46157</v>
      </c>
      <c r="B444" t="s">
        <v>15</v>
      </c>
      <c r="C444" t="s">
        <v>44</v>
      </c>
      <c r="D444" t="s">
        <v>45</v>
      </c>
      <c r="E444" t="s">
        <v>34</v>
      </c>
      <c r="F444" s="3">
        <v>0.25</v>
      </c>
      <c r="G444" s="4">
        <v>0.75</v>
      </c>
      <c r="H444" s="5" t="s">
        <v>19</v>
      </c>
      <c r="I444" t="s">
        <v>26</v>
      </c>
      <c r="J444" t="s">
        <v>24</v>
      </c>
      <c r="K444" t="s">
        <v>46</v>
      </c>
      <c r="L444" t="s">
        <v>47</v>
      </c>
      <c r="M444" t="s">
        <v>24</v>
      </c>
      <c r="N444">
        <f>IF(Table1[[#This Row],[Akhir]]&lt;Table1[[#This Row],[Awal]],(Table1[[#This Row],[Akhir]]+1)-Table1[[#This Row],[Awal]],Table1[[#This Row],[Akhir]]-Table1[[#This Row],[Awal]])*24</f>
        <v>12</v>
      </c>
      <c r="O444" t="str">
        <f>IF(Table1[[#This Row],[Duration Real]]&gt;=6,"Major",
IF(Table1[[#This Row],[Duration Real]]&gt;=2,"Medium","Minor"))</f>
        <v>Major</v>
      </c>
    </row>
    <row r="445" spans="1:15" x14ac:dyDescent="0.35">
      <c r="A445" s="2">
        <v>46157</v>
      </c>
      <c r="B445" t="s">
        <v>15</v>
      </c>
      <c r="C445" t="s">
        <v>44</v>
      </c>
      <c r="D445" t="s">
        <v>45</v>
      </c>
      <c r="E445" t="s">
        <v>34</v>
      </c>
      <c r="F445" s="3">
        <v>0.75</v>
      </c>
      <c r="G445" s="4">
        <v>0.25</v>
      </c>
      <c r="H445" s="5" t="s">
        <v>19</v>
      </c>
      <c r="I445" t="s">
        <v>20</v>
      </c>
      <c r="J445" t="s">
        <v>24</v>
      </c>
      <c r="K445" t="s">
        <v>46</v>
      </c>
      <c r="L445" t="s">
        <v>47</v>
      </c>
      <c r="M445" t="s">
        <v>24</v>
      </c>
      <c r="N445">
        <f>IF(Table1[[#This Row],[Akhir]]&lt;Table1[[#This Row],[Awal]],(Table1[[#This Row],[Akhir]]+1)-Table1[[#This Row],[Awal]],Table1[[#This Row],[Akhir]]-Table1[[#This Row],[Awal]])*24</f>
        <v>12</v>
      </c>
      <c r="O445" t="str">
        <f>IF(Table1[[#This Row],[Duration Real]]&gt;=6,"Major",
IF(Table1[[#This Row],[Duration Real]]&gt;=2,"Medium","Minor"))</f>
        <v>Major</v>
      </c>
    </row>
    <row r="446" spans="1:15" x14ac:dyDescent="0.35">
      <c r="A446" s="2">
        <v>46157</v>
      </c>
      <c r="B446" t="s">
        <v>15</v>
      </c>
      <c r="C446" t="s">
        <v>52</v>
      </c>
      <c r="D446" t="s">
        <v>531</v>
      </c>
      <c r="E446" t="s">
        <v>532</v>
      </c>
      <c r="F446" s="3">
        <v>0.95625000000000004</v>
      </c>
      <c r="G446" s="4">
        <v>4.583333333333333E-2</v>
      </c>
      <c r="H446" s="5" t="s">
        <v>19</v>
      </c>
      <c r="I446" t="s">
        <v>20</v>
      </c>
      <c r="J446" t="s">
        <v>24</v>
      </c>
      <c r="K446" t="s">
        <v>22</v>
      </c>
      <c r="L446" t="s">
        <v>43</v>
      </c>
      <c r="M446" t="s">
        <v>24</v>
      </c>
      <c r="N446">
        <f>IF(Table1[[#This Row],[Akhir]]&lt;Table1[[#This Row],[Awal]],(Table1[[#This Row],[Akhir]]+1)-Table1[[#This Row],[Awal]],Table1[[#This Row],[Akhir]]-Table1[[#This Row],[Awal]])*24</f>
        <v>2.1500000000000004</v>
      </c>
      <c r="O446" t="str">
        <f>IF(Table1[[#This Row],[Duration Real]]&gt;=6,"Major",
IF(Table1[[#This Row],[Duration Real]]&gt;=2,"Medium","Minor"))</f>
        <v>Medium</v>
      </c>
    </row>
    <row r="447" spans="1:15" x14ac:dyDescent="0.35">
      <c r="A447" s="2">
        <v>46157</v>
      </c>
      <c r="B447" t="s">
        <v>15</v>
      </c>
      <c r="C447" t="s">
        <v>64</v>
      </c>
      <c r="D447" t="s">
        <v>533</v>
      </c>
      <c r="E447" t="s">
        <v>158</v>
      </c>
      <c r="F447" s="3">
        <v>0.29305555555555557</v>
      </c>
      <c r="G447" s="4">
        <v>0.32083333333333336</v>
      </c>
      <c r="H447" s="5" t="s">
        <v>19</v>
      </c>
      <c r="I447" t="s">
        <v>26</v>
      </c>
      <c r="J447" t="s">
        <v>534</v>
      </c>
      <c r="K447" t="s">
        <v>22</v>
      </c>
      <c r="L447" t="s">
        <v>374</v>
      </c>
      <c r="M447" t="s">
        <v>24</v>
      </c>
      <c r="N447">
        <f>IF(Table1[[#This Row],[Akhir]]&lt;Table1[[#This Row],[Awal]],(Table1[[#This Row],[Akhir]]+1)-Table1[[#This Row],[Awal]],Table1[[#This Row],[Akhir]]-Table1[[#This Row],[Awal]])*24</f>
        <v>0.66666666666666696</v>
      </c>
      <c r="O447" t="str">
        <f>IF(Table1[[#This Row],[Duration Real]]&gt;=6,"Major",
IF(Table1[[#This Row],[Duration Real]]&gt;=2,"Medium","Minor"))</f>
        <v>Minor</v>
      </c>
    </row>
    <row r="448" spans="1:15" x14ac:dyDescent="0.35">
      <c r="A448" s="2">
        <v>46157</v>
      </c>
      <c r="B448" t="s">
        <v>15</v>
      </c>
      <c r="C448" t="s">
        <v>85</v>
      </c>
      <c r="D448" t="s">
        <v>86</v>
      </c>
      <c r="E448" t="s">
        <v>34</v>
      </c>
      <c r="F448" s="3">
        <v>0.25</v>
      </c>
      <c r="G448" s="4">
        <v>0.75</v>
      </c>
      <c r="H448" s="5" t="s">
        <v>19</v>
      </c>
      <c r="I448" t="s">
        <v>26</v>
      </c>
      <c r="J448" t="s">
        <v>24</v>
      </c>
      <c r="K448" t="s">
        <v>22</v>
      </c>
      <c r="L448" t="s">
        <v>87</v>
      </c>
      <c r="M448" t="s">
        <v>24</v>
      </c>
      <c r="N448">
        <f>IF(Table1[[#This Row],[Akhir]]&lt;Table1[[#This Row],[Awal]],(Table1[[#This Row],[Akhir]]+1)-Table1[[#This Row],[Awal]],Table1[[#This Row],[Akhir]]-Table1[[#This Row],[Awal]])*24</f>
        <v>12</v>
      </c>
      <c r="O448" t="str">
        <f>IF(Table1[[#This Row],[Duration Real]]&gt;=6,"Major",
IF(Table1[[#This Row],[Duration Real]]&gt;=2,"Medium","Minor"))</f>
        <v>Major</v>
      </c>
    </row>
    <row r="449" spans="1:15" x14ac:dyDescent="0.35">
      <c r="A449" s="2">
        <v>46157</v>
      </c>
      <c r="B449" t="s">
        <v>15</v>
      </c>
      <c r="C449" t="s">
        <v>85</v>
      </c>
      <c r="D449" t="s">
        <v>86</v>
      </c>
      <c r="E449" t="s">
        <v>34</v>
      </c>
      <c r="F449" s="3">
        <v>0.75</v>
      </c>
      <c r="G449" s="4">
        <v>0.25</v>
      </c>
      <c r="H449" s="5" t="s">
        <v>19</v>
      </c>
      <c r="I449" t="s">
        <v>20</v>
      </c>
      <c r="J449" t="s">
        <v>24</v>
      </c>
      <c r="K449" t="s">
        <v>22</v>
      </c>
      <c r="L449" t="s">
        <v>87</v>
      </c>
      <c r="M449" t="s">
        <v>24</v>
      </c>
      <c r="N449">
        <f>IF(Table1[[#This Row],[Akhir]]&lt;Table1[[#This Row],[Awal]],(Table1[[#This Row],[Akhir]]+1)-Table1[[#This Row],[Awal]],Table1[[#This Row],[Akhir]]-Table1[[#This Row],[Awal]])*24</f>
        <v>12</v>
      </c>
      <c r="O449" t="str">
        <f>IF(Table1[[#This Row],[Duration Real]]&gt;=6,"Major",
IF(Table1[[#This Row],[Duration Real]]&gt;=2,"Medium","Minor"))</f>
        <v>Major</v>
      </c>
    </row>
    <row r="450" spans="1:15" x14ac:dyDescent="0.35">
      <c r="A450" s="2">
        <v>46157</v>
      </c>
      <c r="B450" t="s">
        <v>15</v>
      </c>
      <c r="C450" t="s">
        <v>88</v>
      </c>
      <c r="D450" t="s">
        <v>442</v>
      </c>
      <c r="E450" t="s">
        <v>535</v>
      </c>
      <c r="F450" s="3">
        <v>0.25</v>
      </c>
      <c r="G450" s="4">
        <v>0.61319444444444449</v>
      </c>
      <c r="H450" s="5" t="s">
        <v>19</v>
      </c>
      <c r="I450" t="s">
        <v>26</v>
      </c>
      <c r="J450" t="s">
        <v>24</v>
      </c>
      <c r="K450" t="s">
        <v>22</v>
      </c>
      <c r="L450" t="s">
        <v>23</v>
      </c>
      <c r="M450" t="s">
        <v>24</v>
      </c>
      <c r="N450">
        <f>IF(Table1[[#This Row],[Akhir]]&lt;Table1[[#This Row],[Awal]],(Table1[[#This Row],[Akhir]]+1)-Table1[[#This Row],[Awal]],Table1[[#This Row],[Akhir]]-Table1[[#This Row],[Awal]])*24</f>
        <v>8.7166666666666686</v>
      </c>
      <c r="O450" t="str">
        <f>IF(Table1[[#This Row],[Duration Real]]&gt;=6,"Major",
IF(Table1[[#This Row],[Duration Real]]&gt;=2,"Medium","Minor"))</f>
        <v>Major</v>
      </c>
    </row>
    <row r="451" spans="1:15" x14ac:dyDescent="0.35">
      <c r="A451" s="2">
        <v>46157</v>
      </c>
      <c r="B451" t="s">
        <v>15</v>
      </c>
      <c r="C451" t="s">
        <v>118</v>
      </c>
      <c r="D451" t="s">
        <v>536</v>
      </c>
      <c r="E451" t="s">
        <v>369</v>
      </c>
      <c r="F451" s="3">
        <v>0.37847222222222221</v>
      </c>
      <c r="G451" s="4">
        <v>0.42777777777777776</v>
      </c>
      <c r="H451" s="5" t="s">
        <v>19</v>
      </c>
      <c r="I451" t="s">
        <v>26</v>
      </c>
      <c r="J451" t="s">
        <v>537</v>
      </c>
      <c r="K451" t="s">
        <v>22</v>
      </c>
      <c r="L451" t="s">
        <v>538</v>
      </c>
      <c r="M451" t="s">
        <v>24</v>
      </c>
      <c r="N451">
        <f>IF(Table1[[#This Row],[Akhir]]&lt;Table1[[#This Row],[Awal]],(Table1[[#This Row],[Akhir]]+1)-Table1[[#This Row],[Awal]],Table1[[#This Row],[Akhir]]-Table1[[#This Row],[Awal]])*24</f>
        <v>1.1833333333333331</v>
      </c>
      <c r="O451" t="str">
        <f>IF(Table1[[#This Row],[Duration Real]]&gt;=6,"Major",
IF(Table1[[#This Row],[Duration Real]]&gt;=2,"Medium","Minor"))</f>
        <v>Minor</v>
      </c>
    </row>
    <row r="452" spans="1:15" x14ac:dyDescent="0.35">
      <c r="A452" s="2">
        <v>46157</v>
      </c>
      <c r="B452" t="s">
        <v>94</v>
      </c>
      <c r="C452" t="s">
        <v>95</v>
      </c>
      <c r="D452" t="s">
        <v>539</v>
      </c>
      <c r="E452" t="s">
        <v>433</v>
      </c>
      <c r="F452" s="3">
        <v>0.75</v>
      </c>
      <c r="G452" s="4">
        <v>0.85763888888888884</v>
      </c>
      <c r="H452" s="5" t="s">
        <v>19</v>
      </c>
      <c r="I452" t="s">
        <v>20</v>
      </c>
      <c r="J452" t="s">
        <v>24</v>
      </c>
      <c r="K452" t="s">
        <v>22</v>
      </c>
      <c r="L452" t="s">
        <v>43</v>
      </c>
      <c r="M452" t="s">
        <v>24</v>
      </c>
      <c r="N452">
        <f>IF(Table1[[#This Row],[Akhir]]&lt;Table1[[#This Row],[Awal]],(Table1[[#This Row],[Akhir]]+1)-Table1[[#This Row],[Awal]],Table1[[#This Row],[Akhir]]-Table1[[#This Row],[Awal]])*24</f>
        <v>2.5833333333333321</v>
      </c>
      <c r="O452" t="str">
        <f>IF(Table1[[#This Row],[Duration Real]]&gt;=6,"Major",
IF(Table1[[#This Row],[Duration Real]]&gt;=2,"Medium","Minor"))</f>
        <v>Medium</v>
      </c>
    </row>
    <row r="453" spans="1:15" x14ac:dyDescent="0.35">
      <c r="A453" s="2">
        <v>46157</v>
      </c>
      <c r="B453" t="s">
        <v>94</v>
      </c>
      <c r="C453" t="s">
        <v>95</v>
      </c>
      <c r="D453" t="s">
        <v>313</v>
      </c>
      <c r="E453" t="s">
        <v>540</v>
      </c>
      <c r="F453" s="3">
        <v>0.58194444444444449</v>
      </c>
      <c r="G453" s="4">
        <v>0.67291666666666672</v>
      </c>
      <c r="H453" s="5" t="s">
        <v>19</v>
      </c>
      <c r="I453" t="s">
        <v>26</v>
      </c>
      <c r="J453" t="s">
        <v>24</v>
      </c>
      <c r="K453" t="s">
        <v>22</v>
      </c>
      <c r="L453" t="s">
        <v>43</v>
      </c>
      <c r="M453" t="s">
        <v>24</v>
      </c>
      <c r="N453">
        <f>IF(Table1[[#This Row],[Akhir]]&lt;Table1[[#This Row],[Awal]],(Table1[[#This Row],[Akhir]]+1)-Table1[[#This Row],[Awal]],Table1[[#This Row],[Akhir]]-Table1[[#This Row],[Awal]])*24</f>
        <v>2.1833333333333336</v>
      </c>
      <c r="O453" t="str">
        <f>IF(Table1[[#This Row],[Duration Real]]&gt;=6,"Major",
IF(Table1[[#This Row],[Duration Real]]&gt;=2,"Medium","Minor"))</f>
        <v>Medium</v>
      </c>
    </row>
    <row r="454" spans="1:15" x14ac:dyDescent="0.35">
      <c r="A454" s="2">
        <v>46157</v>
      </c>
      <c r="B454" t="s">
        <v>94</v>
      </c>
      <c r="C454" t="s">
        <v>204</v>
      </c>
      <c r="D454" t="s">
        <v>495</v>
      </c>
      <c r="E454" t="s">
        <v>541</v>
      </c>
      <c r="F454" s="3">
        <v>0.14930555555555555</v>
      </c>
      <c r="G454" s="4">
        <v>0.25</v>
      </c>
      <c r="H454" s="5" t="s">
        <v>19</v>
      </c>
      <c r="I454" t="s">
        <v>20</v>
      </c>
      <c r="J454" t="s">
        <v>24</v>
      </c>
      <c r="K454" t="s">
        <v>22</v>
      </c>
      <c r="L454" t="s">
        <v>143</v>
      </c>
      <c r="M454" t="s">
        <v>24</v>
      </c>
      <c r="N454">
        <f>IF(Table1[[#This Row],[Akhir]]&lt;Table1[[#This Row],[Awal]],(Table1[[#This Row],[Akhir]]+1)-Table1[[#This Row],[Awal]],Table1[[#This Row],[Akhir]]-Table1[[#This Row],[Awal]])*24</f>
        <v>2.416666666666667</v>
      </c>
      <c r="O454" t="str">
        <f>IF(Table1[[#This Row],[Duration Real]]&gt;=6,"Major",
IF(Table1[[#This Row],[Duration Real]]&gt;=2,"Medium","Minor"))</f>
        <v>Medium</v>
      </c>
    </row>
    <row r="455" spans="1:15" x14ac:dyDescent="0.35">
      <c r="A455" s="2">
        <v>46157</v>
      </c>
      <c r="B455" t="s">
        <v>94</v>
      </c>
      <c r="C455" t="s">
        <v>101</v>
      </c>
      <c r="D455" t="s">
        <v>102</v>
      </c>
      <c r="E455" t="s">
        <v>542</v>
      </c>
      <c r="F455" s="3">
        <v>0.25</v>
      </c>
      <c r="G455" s="4">
        <v>0.43888888888888888</v>
      </c>
      <c r="H455" s="5" t="s">
        <v>19</v>
      </c>
      <c r="I455" t="s">
        <v>26</v>
      </c>
      <c r="J455" t="s">
        <v>24</v>
      </c>
      <c r="K455" t="s">
        <v>22</v>
      </c>
      <c r="L455" t="s">
        <v>23</v>
      </c>
      <c r="M455" t="s">
        <v>24</v>
      </c>
      <c r="N455">
        <f>IF(Table1[[#This Row],[Akhir]]&lt;Table1[[#This Row],[Awal]],(Table1[[#This Row],[Akhir]]+1)-Table1[[#This Row],[Awal]],Table1[[#This Row],[Akhir]]-Table1[[#This Row],[Awal]])*24</f>
        <v>4.5333333333333332</v>
      </c>
      <c r="O455" t="str">
        <f>IF(Table1[[#This Row],[Duration Real]]&gt;=6,"Major",
IF(Table1[[#This Row],[Duration Real]]&gt;=2,"Medium","Minor"))</f>
        <v>Medium</v>
      </c>
    </row>
    <row r="456" spans="1:15" x14ac:dyDescent="0.35">
      <c r="A456" s="2">
        <v>46158</v>
      </c>
      <c r="B456" t="s">
        <v>15</v>
      </c>
      <c r="C456" t="s">
        <v>16</v>
      </c>
      <c r="D456" t="s">
        <v>419</v>
      </c>
      <c r="E456" t="s">
        <v>543</v>
      </c>
      <c r="F456" s="3">
        <v>0.88958333333333328</v>
      </c>
      <c r="G456" s="4">
        <v>0.97152777777777777</v>
      </c>
      <c r="H456" s="5" t="s">
        <v>19</v>
      </c>
      <c r="I456" t="s">
        <v>20</v>
      </c>
      <c r="J456" t="s">
        <v>24</v>
      </c>
      <c r="K456" t="s">
        <v>22</v>
      </c>
      <c r="L456" t="s">
        <v>366</v>
      </c>
      <c r="M456" t="s">
        <v>24</v>
      </c>
      <c r="N456">
        <f>IF(Table1[[#This Row],[Akhir]]&lt;Table1[[#This Row],[Awal]],(Table1[[#This Row],[Akhir]]+1)-Table1[[#This Row],[Awal]],Table1[[#This Row],[Akhir]]-Table1[[#This Row],[Awal]])*24</f>
        <v>1.9666666666666677</v>
      </c>
      <c r="O456" t="str">
        <f>IF(Table1[[#This Row],[Duration Real]]&gt;=6,"Major",
IF(Table1[[#This Row],[Duration Real]]&gt;=2,"Medium","Minor"))</f>
        <v>Minor</v>
      </c>
    </row>
    <row r="457" spans="1:15" x14ac:dyDescent="0.35">
      <c r="A457" s="2">
        <v>46158</v>
      </c>
      <c r="B457" t="s">
        <v>15</v>
      </c>
      <c r="C457" t="s">
        <v>32</v>
      </c>
      <c r="D457" t="s">
        <v>428</v>
      </c>
      <c r="E457" t="s">
        <v>34</v>
      </c>
      <c r="F457" s="3">
        <v>0.25</v>
      </c>
      <c r="G457" s="4">
        <v>0.75</v>
      </c>
      <c r="H457" s="5" t="s">
        <v>19</v>
      </c>
      <c r="I457" t="s">
        <v>26</v>
      </c>
      <c r="J457" t="s">
        <v>24</v>
      </c>
      <c r="K457" t="s">
        <v>22</v>
      </c>
      <c r="L457" t="s">
        <v>43</v>
      </c>
      <c r="M457" t="s">
        <v>24</v>
      </c>
      <c r="N457">
        <f>IF(Table1[[#This Row],[Akhir]]&lt;Table1[[#This Row],[Awal]],(Table1[[#This Row],[Akhir]]+1)-Table1[[#This Row],[Awal]],Table1[[#This Row],[Akhir]]-Table1[[#This Row],[Awal]])*24</f>
        <v>12</v>
      </c>
      <c r="O457" t="str">
        <f>IF(Table1[[#This Row],[Duration Real]]&gt;=6,"Major",
IF(Table1[[#This Row],[Duration Real]]&gt;=2,"Medium","Minor"))</f>
        <v>Major</v>
      </c>
    </row>
    <row r="458" spans="1:15" x14ac:dyDescent="0.35">
      <c r="A458" s="2">
        <v>46158</v>
      </c>
      <c r="B458" t="s">
        <v>15</v>
      </c>
      <c r="C458" t="s">
        <v>32</v>
      </c>
      <c r="D458" t="s">
        <v>428</v>
      </c>
      <c r="E458" t="s">
        <v>34</v>
      </c>
      <c r="F458" s="3">
        <v>0.75</v>
      </c>
      <c r="G458" s="4">
        <v>0.25</v>
      </c>
      <c r="H458" s="5" t="s">
        <v>19</v>
      </c>
      <c r="I458" t="s">
        <v>20</v>
      </c>
      <c r="J458" t="s">
        <v>24</v>
      </c>
      <c r="K458" t="s">
        <v>22</v>
      </c>
      <c r="L458" t="s">
        <v>43</v>
      </c>
      <c r="M458" t="s">
        <v>24</v>
      </c>
      <c r="N458">
        <f>IF(Table1[[#This Row],[Akhir]]&lt;Table1[[#This Row],[Awal]],(Table1[[#This Row],[Akhir]]+1)-Table1[[#This Row],[Awal]],Table1[[#This Row],[Akhir]]-Table1[[#This Row],[Awal]])*24</f>
        <v>12</v>
      </c>
      <c r="O458" t="str">
        <f>IF(Table1[[#This Row],[Duration Real]]&gt;=6,"Major",
IF(Table1[[#This Row],[Duration Real]]&gt;=2,"Medium","Minor"))</f>
        <v>Major</v>
      </c>
    </row>
    <row r="459" spans="1:15" x14ac:dyDescent="0.35">
      <c r="A459" s="2">
        <v>46158</v>
      </c>
      <c r="B459" t="s">
        <v>15</v>
      </c>
      <c r="C459" t="s">
        <v>36</v>
      </c>
      <c r="D459" t="s">
        <v>544</v>
      </c>
      <c r="E459" t="s">
        <v>34</v>
      </c>
      <c r="F459" s="3">
        <v>0.25</v>
      </c>
      <c r="G459" s="4">
        <v>0.75</v>
      </c>
      <c r="H459" s="5" t="s">
        <v>19</v>
      </c>
      <c r="I459" t="s">
        <v>26</v>
      </c>
      <c r="J459" t="s">
        <v>24</v>
      </c>
      <c r="K459" t="s">
        <v>22</v>
      </c>
      <c r="L459" t="s">
        <v>23</v>
      </c>
      <c r="M459" t="s">
        <v>24</v>
      </c>
      <c r="N459">
        <f>IF(Table1[[#This Row],[Akhir]]&lt;Table1[[#This Row],[Awal]],(Table1[[#This Row],[Akhir]]+1)-Table1[[#This Row],[Awal]],Table1[[#This Row],[Akhir]]-Table1[[#This Row],[Awal]])*24</f>
        <v>12</v>
      </c>
      <c r="O459" t="str">
        <f>IF(Table1[[#This Row],[Duration Real]]&gt;=6,"Major",
IF(Table1[[#This Row],[Duration Real]]&gt;=2,"Medium","Minor"))</f>
        <v>Major</v>
      </c>
    </row>
    <row r="460" spans="1:15" x14ac:dyDescent="0.35">
      <c r="A460" s="2">
        <v>46158</v>
      </c>
      <c r="B460" t="s">
        <v>15</v>
      </c>
      <c r="C460" t="s">
        <v>36</v>
      </c>
      <c r="D460" t="s">
        <v>544</v>
      </c>
      <c r="E460" t="s">
        <v>545</v>
      </c>
      <c r="F460" s="3">
        <v>0.75</v>
      </c>
      <c r="G460" s="4">
        <v>0.90208333333333335</v>
      </c>
      <c r="H460" s="5" t="s">
        <v>19</v>
      </c>
      <c r="I460" t="s">
        <v>20</v>
      </c>
      <c r="J460" t="s">
        <v>24</v>
      </c>
      <c r="K460" t="s">
        <v>22</v>
      </c>
      <c r="L460" t="s">
        <v>23</v>
      </c>
      <c r="M460" t="s">
        <v>24</v>
      </c>
      <c r="N460">
        <f>IF(Table1[[#This Row],[Akhir]]&lt;Table1[[#This Row],[Awal]],(Table1[[#This Row],[Akhir]]+1)-Table1[[#This Row],[Awal]],Table1[[#This Row],[Akhir]]-Table1[[#This Row],[Awal]])*24</f>
        <v>3.6500000000000004</v>
      </c>
      <c r="O460" t="str">
        <f>IF(Table1[[#This Row],[Duration Real]]&gt;=6,"Major",
IF(Table1[[#This Row],[Duration Real]]&gt;=2,"Medium","Minor"))</f>
        <v>Medium</v>
      </c>
    </row>
    <row r="461" spans="1:15" x14ac:dyDescent="0.35">
      <c r="A461" s="2">
        <v>46158</v>
      </c>
      <c r="B461" t="s">
        <v>15</v>
      </c>
      <c r="C461" t="s">
        <v>41</v>
      </c>
      <c r="D461" t="s">
        <v>435</v>
      </c>
      <c r="E461" t="s">
        <v>34</v>
      </c>
      <c r="F461" s="3">
        <v>0.25</v>
      </c>
      <c r="G461" s="4">
        <v>0.75</v>
      </c>
      <c r="H461" s="5" t="s">
        <v>19</v>
      </c>
      <c r="I461" t="s">
        <v>26</v>
      </c>
      <c r="J461" t="s">
        <v>24</v>
      </c>
      <c r="K461" t="s">
        <v>39</v>
      </c>
      <c r="L461" t="s">
        <v>43</v>
      </c>
      <c r="M461" t="s">
        <v>24</v>
      </c>
      <c r="N461">
        <f>IF(Table1[[#This Row],[Akhir]]&lt;Table1[[#This Row],[Awal]],(Table1[[#This Row],[Akhir]]+1)-Table1[[#This Row],[Awal]],Table1[[#This Row],[Akhir]]-Table1[[#This Row],[Awal]])*24</f>
        <v>12</v>
      </c>
      <c r="O461" t="str">
        <f>IF(Table1[[#This Row],[Duration Real]]&gt;=6,"Major",
IF(Table1[[#This Row],[Duration Real]]&gt;=2,"Medium","Minor"))</f>
        <v>Major</v>
      </c>
    </row>
    <row r="462" spans="1:15" x14ac:dyDescent="0.35">
      <c r="A462" s="2">
        <v>46158</v>
      </c>
      <c r="B462" t="s">
        <v>15</v>
      </c>
      <c r="C462" t="s">
        <v>41</v>
      </c>
      <c r="D462" t="s">
        <v>435</v>
      </c>
      <c r="E462" t="s">
        <v>34</v>
      </c>
      <c r="F462" s="3">
        <v>0.75</v>
      </c>
      <c r="G462" s="4">
        <v>0.25</v>
      </c>
      <c r="H462" s="5" t="s">
        <v>19</v>
      </c>
      <c r="I462" t="s">
        <v>20</v>
      </c>
      <c r="J462" t="s">
        <v>24</v>
      </c>
      <c r="K462" t="s">
        <v>39</v>
      </c>
      <c r="L462" t="s">
        <v>43</v>
      </c>
      <c r="M462" t="s">
        <v>24</v>
      </c>
      <c r="N462">
        <f>IF(Table1[[#This Row],[Akhir]]&lt;Table1[[#This Row],[Awal]],(Table1[[#This Row],[Akhir]]+1)-Table1[[#This Row],[Awal]],Table1[[#This Row],[Akhir]]-Table1[[#This Row],[Awal]])*24</f>
        <v>12</v>
      </c>
      <c r="O462" t="str">
        <f>IF(Table1[[#This Row],[Duration Real]]&gt;=6,"Major",
IF(Table1[[#This Row],[Duration Real]]&gt;=2,"Medium","Minor"))</f>
        <v>Major</v>
      </c>
    </row>
    <row r="463" spans="1:15" x14ac:dyDescent="0.35">
      <c r="A463" s="2">
        <v>46158</v>
      </c>
      <c r="B463" t="s">
        <v>15</v>
      </c>
      <c r="C463" t="s">
        <v>44</v>
      </c>
      <c r="D463" t="s">
        <v>45</v>
      </c>
      <c r="E463" t="s">
        <v>34</v>
      </c>
      <c r="F463" s="3">
        <v>0.25</v>
      </c>
      <c r="G463" s="4">
        <v>0.75</v>
      </c>
      <c r="H463" s="5" t="s">
        <v>19</v>
      </c>
      <c r="I463" t="s">
        <v>26</v>
      </c>
      <c r="J463" t="s">
        <v>24</v>
      </c>
      <c r="K463" t="s">
        <v>46</v>
      </c>
      <c r="L463" t="s">
        <v>47</v>
      </c>
      <c r="M463" t="s">
        <v>24</v>
      </c>
      <c r="N463">
        <f>IF(Table1[[#This Row],[Akhir]]&lt;Table1[[#This Row],[Awal]],(Table1[[#This Row],[Akhir]]+1)-Table1[[#This Row],[Awal]],Table1[[#This Row],[Akhir]]-Table1[[#This Row],[Awal]])*24</f>
        <v>12</v>
      </c>
      <c r="O463" t="str">
        <f>IF(Table1[[#This Row],[Duration Real]]&gt;=6,"Major",
IF(Table1[[#This Row],[Duration Real]]&gt;=2,"Medium","Minor"))</f>
        <v>Major</v>
      </c>
    </row>
    <row r="464" spans="1:15" x14ac:dyDescent="0.35">
      <c r="A464" s="2">
        <v>46158</v>
      </c>
      <c r="B464" t="s">
        <v>15</v>
      </c>
      <c r="C464" t="s">
        <v>44</v>
      </c>
      <c r="D464" t="s">
        <v>45</v>
      </c>
      <c r="E464" t="s">
        <v>34</v>
      </c>
      <c r="F464" s="3">
        <v>0.75</v>
      </c>
      <c r="G464" s="4">
        <v>0.25</v>
      </c>
      <c r="H464" s="5" t="s">
        <v>19</v>
      </c>
      <c r="I464" t="s">
        <v>20</v>
      </c>
      <c r="J464" t="s">
        <v>24</v>
      </c>
      <c r="K464" t="s">
        <v>46</v>
      </c>
      <c r="L464" t="s">
        <v>47</v>
      </c>
      <c r="M464" t="s">
        <v>24</v>
      </c>
      <c r="N464">
        <f>IF(Table1[[#This Row],[Akhir]]&lt;Table1[[#This Row],[Awal]],(Table1[[#This Row],[Akhir]]+1)-Table1[[#This Row],[Awal]],Table1[[#This Row],[Akhir]]-Table1[[#This Row],[Awal]])*24</f>
        <v>12</v>
      </c>
      <c r="O464" t="str">
        <f>IF(Table1[[#This Row],[Duration Real]]&gt;=6,"Major",
IF(Table1[[#This Row],[Duration Real]]&gt;=2,"Medium","Minor"))</f>
        <v>Major</v>
      </c>
    </row>
    <row r="465" spans="1:15" x14ac:dyDescent="0.35">
      <c r="A465" s="2">
        <v>46158</v>
      </c>
      <c r="B465" t="s">
        <v>15</v>
      </c>
      <c r="C465" t="s">
        <v>52</v>
      </c>
      <c r="D465" t="s">
        <v>55</v>
      </c>
      <c r="E465" t="s">
        <v>481</v>
      </c>
      <c r="F465" s="3">
        <v>0.54166666666666663</v>
      </c>
      <c r="G465" s="4">
        <v>0.58888888888888891</v>
      </c>
      <c r="H465" s="5" t="s">
        <v>19</v>
      </c>
      <c r="I465" t="s">
        <v>26</v>
      </c>
      <c r="J465" t="s">
        <v>24</v>
      </c>
      <c r="K465" t="s">
        <v>22</v>
      </c>
      <c r="L465" t="s">
        <v>43</v>
      </c>
      <c r="M465" t="s">
        <v>24</v>
      </c>
      <c r="N465">
        <f>IF(Table1[[#This Row],[Akhir]]&lt;Table1[[#This Row],[Awal]],(Table1[[#This Row],[Akhir]]+1)-Table1[[#This Row],[Awal]],Table1[[#This Row],[Akhir]]-Table1[[#This Row],[Awal]])*24</f>
        <v>1.1333333333333346</v>
      </c>
      <c r="O465" t="str">
        <f>IF(Table1[[#This Row],[Duration Real]]&gt;=6,"Major",
IF(Table1[[#This Row],[Duration Real]]&gt;=2,"Medium","Minor"))</f>
        <v>Minor</v>
      </c>
    </row>
    <row r="466" spans="1:15" x14ac:dyDescent="0.35">
      <c r="A466" s="2">
        <v>46158</v>
      </c>
      <c r="B466" t="s">
        <v>15</v>
      </c>
      <c r="C466" t="s">
        <v>64</v>
      </c>
      <c r="D466" t="s">
        <v>546</v>
      </c>
      <c r="E466" t="s">
        <v>227</v>
      </c>
      <c r="F466" s="3">
        <v>0.78749999999999998</v>
      </c>
      <c r="G466" s="4">
        <v>0.8208333333333333</v>
      </c>
      <c r="H466" s="5" t="s">
        <v>19</v>
      </c>
      <c r="I466" t="s">
        <v>20</v>
      </c>
      <c r="J466" t="s">
        <v>24</v>
      </c>
      <c r="K466" t="s">
        <v>22</v>
      </c>
      <c r="L466" t="s">
        <v>440</v>
      </c>
      <c r="M466" t="s">
        <v>24</v>
      </c>
      <c r="N466">
        <f>IF(Table1[[#This Row],[Akhir]]&lt;Table1[[#This Row],[Awal]],(Table1[[#This Row],[Akhir]]+1)-Table1[[#This Row],[Awal]],Table1[[#This Row],[Akhir]]-Table1[[#This Row],[Awal]])*24</f>
        <v>0.79999999999999982</v>
      </c>
      <c r="O466" t="str">
        <f>IF(Table1[[#This Row],[Duration Real]]&gt;=6,"Major",
IF(Table1[[#This Row],[Duration Real]]&gt;=2,"Medium","Minor"))</f>
        <v>Minor</v>
      </c>
    </row>
    <row r="467" spans="1:15" x14ac:dyDescent="0.35">
      <c r="A467" s="2">
        <v>46158</v>
      </c>
      <c r="B467" t="s">
        <v>15</v>
      </c>
      <c r="C467" t="s">
        <v>76</v>
      </c>
      <c r="D467" t="s">
        <v>547</v>
      </c>
      <c r="E467" t="s">
        <v>402</v>
      </c>
      <c r="F467" s="3">
        <v>0.60902777777777772</v>
      </c>
      <c r="G467" s="4">
        <v>0.6479166666666667</v>
      </c>
      <c r="H467" s="5" t="s">
        <v>19</v>
      </c>
      <c r="I467" t="s">
        <v>26</v>
      </c>
      <c r="J467" t="s">
        <v>548</v>
      </c>
      <c r="K467" t="s">
        <v>22</v>
      </c>
      <c r="L467" t="s">
        <v>549</v>
      </c>
      <c r="M467" t="s">
        <v>24</v>
      </c>
      <c r="N467">
        <f>IF(Table1[[#This Row],[Akhir]]&lt;Table1[[#This Row],[Awal]],(Table1[[#This Row],[Akhir]]+1)-Table1[[#This Row],[Awal]],Table1[[#This Row],[Akhir]]-Table1[[#This Row],[Awal]])*24</f>
        <v>0.93333333333333535</v>
      </c>
      <c r="O467" t="str">
        <f>IF(Table1[[#This Row],[Duration Real]]&gt;=6,"Major",
IF(Table1[[#This Row],[Duration Real]]&gt;=2,"Medium","Minor"))</f>
        <v>Minor</v>
      </c>
    </row>
    <row r="468" spans="1:15" x14ac:dyDescent="0.35">
      <c r="A468" s="2">
        <v>46158</v>
      </c>
      <c r="B468" t="s">
        <v>15</v>
      </c>
      <c r="C468" t="s">
        <v>76</v>
      </c>
      <c r="D468" t="s">
        <v>546</v>
      </c>
      <c r="E468" t="s">
        <v>158</v>
      </c>
      <c r="F468" s="3">
        <v>0.75</v>
      </c>
      <c r="G468" s="4">
        <v>0.77777777777777779</v>
      </c>
      <c r="H468" s="5" t="s">
        <v>19</v>
      </c>
      <c r="I468" t="s">
        <v>20</v>
      </c>
      <c r="J468" t="s">
        <v>24</v>
      </c>
      <c r="K468" t="s">
        <v>22</v>
      </c>
      <c r="L468" t="s">
        <v>550</v>
      </c>
      <c r="M468" t="s">
        <v>24</v>
      </c>
      <c r="N468">
        <f>IF(Table1[[#This Row],[Akhir]]&lt;Table1[[#This Row],[Awal]],(Table1[[#This Row],[Akhir]]+1)-Table1[[#This Row],[Awal]],Table1[[#This Row],[Akhir]]-Table1[[#This Row],[Awal]])*24</f>
        <v>0.66666666666666696</v>
      </c>
      <c r="O468" t="str">
        <f>IF(Table1[[#This Row],[Duration Real]]&gt;=6,"Major",
IF(Table1[[#This Row],[Duration Real]]&gt;=2,"Medium","Minor"))</f>
        <v>Minor</v>
      </c>
    </row>
    <row r="469" spans="1:15" x14ac:dyDescent="0.35">
      <c r="A469" s="2">
        <v>46158</v>
      </c>
      <c r="B469" t="s">
        <v>15</v>
      </c>
      <c r="C469" t="s">
        <v>76</v>
      </c>
      <c r="D469" t="s">
        <v>311</v>
      </c>
      <c r="E469" t="s">
        <v>402</v>
      </c>
      <c r="F469" s="3">
        <v>0.91666666666666663</v>
      </c>
      <c r="G469" s="4">
        <v>0.9555555555555556</v>
      </c>
      <c r="H469" s="5" t="s">
        <v>19</v>
      </c>
      <c r="I469" t="s">
        <v>20</v>
      </c>
      <c r="J469" t="s">
        <v>24</v>
      </c>
      <c r="K469" t="s">
        <v>22</v>
      </c>
      <c r="L469" t="s">
        <v>551</v>
      </c>
      <c r="M469" t="s">
        <v>24</v>
      </c>
      <c r="N469">
        <f>IF(Table1[[#This Row],[Akhir]]&lt;Table1[[#This Row],[Awal]],(Table1[[#This Row],[Akhir]]+1)-Table1[[#This Row],[Awal]],Table1[[#This Row],[Akhir]]-Table1[[#This Row],[Awal]])*24</f>
        <v>0.93333333333333535</v>
      </c>
      <c r="O469" t="str">
        <f>IF(Table1[[#This Row],[Duration Real]]&gt;=6,"Major",
IF(Table1[[#This Row],[Duration Real]]&gt;=2,"Medium","Minor"))</f>
        <v>Minor</v>
      </c>
    </row>
    <row r="470" spans="1:15" x14ac:dyDescent="0.35">
      <c r="A470" s="2">
        <v>46158</v>
      </c>
      <c r="B470" t="s">
        <v>15</v>
      </c>
      <c r="C470" t="s">
        <v>76</v>
      </c>
      <c r="D470" t="s">
        <v>552</v>
      </c>
      <c r="E470" t="s">
        <v>553</v>
      </c>
      <c r="F470" s="3">
        <v>0.78611111111111109</v>
      </c>
      <c r="G470" s="4">
        <v>0.89722222222222225</v>
      </c>
      <c r="H470" s="5" t="s">
        <v>19</v>
      </c>
      <c r="I470" t="s">
        <v>20</v>
      </c>
      <c r="J470" t="s">
        <v>24</v>
      </c>
      <c r="K470" t="s">
        <v>22</v>
      </c>
      <c r="L470" t="s">
        <v>551</v>
      </c>
      <c r="M470" t="s">
        <v>24</v>
      </c>
      <c r="N470">
        <f>IF(Table1[[#This Row],[Akhir]]&lt;Table1[[#This Row],[Awal]],(Table1[[#This Row],[Akhir]]+1)-Table1[[#This Row],[Awal]],Table1[[#This Row],[Akhir]]-Table1[[#This Row],[Awal]])*24</f>
        <v>2.6666666666666679</v>
      </c>
      <c r="O470" t="str">
        <f>IF(Table1[[#This Row],[Duration Real]]&gt;=6,"Major",
IF(Table1[[#This Row],[Duration Real]]&gt;=2,"Medium","Minor"))</f>
        <v>Medium</v>
      </c>
    </row>
    <row r="471" spans="1:15" x14ac:dyDescent="0.35">
      <c r="A471" s="2">
        <v>46158</v>
      </c>
      <c r="B471" t="s">
        <v>15</v>
      </c>
      <c r="C471" t="s">
        <v>85</v>
      </c>
      <c r="D471" t="s">
        <v>86</v>
      </c>
      <c r="E471" t="s">
        <v>554</v>
      </c>
      <c r="F471" s="3">
        <v>0.25</v>
      </c>
      <c r="G471" s="4">
        <v>0.65694444444444444</v>
      </c>
      <c r="H471" s="5" t="s">
        <v>19</v>
      </c>
      <c r="I471" t="s">
        <v>26</v>
      </c>
      <c r="J471" t="s">
        <v>24</v>
      </c>
      <c r="K471" t="s">
        <v>22</v>
      </c>
      <c r="L471" t="s">
        <v>87</v>
      </c>
      <c r="M471" t="s">
        <v>24</v>
      </c>
      <c r="N471">
        <f>IF(Table1[[#This Row],[Akhir]]&lt;Table1[[#This Row],[Awal]],(Table1[[#This Row],[Akhir]]+1)-Table1[[#This Row],[Awal]],Table1[[#This Row],[Akhir]]-Table1[[#This Row],[Awal]])*24</f>
        <v>9.7666666666666657</v>
      </c>
      <c r="O471" t="str">
        <f>IF(Table1[[#This Row],[Duration Real]]&gt;=6,"Major",
IF(Table1[[#This Row],[Duration Real]]&gt;=2,"Medium","Minor"))</f>
        <v>Major</v>
      </c>
    </row>
    <row r="472" spans="1:15" x14ac:dyDescent="0.35">
      <c r="A472" s="2">
        <v>46158</v>
      </c>
      <c r="B472" t="s">
        <v>15</v>
      </c>
      <c r="C472" t="s">
        <v>85</v>
      </c>
      <c r="D472" t="s">
        <v>555</v>
      </c>
      <c r="E472" t="s">
        <v>556</v>
      </c>
      <c r="F472" s="3">
        <v>0.90972222222222221</v>
      </c>
      <c r="G472" s="4">
        <v>0.25</v>
      </c>
      <c r="H472" s="5" t="s">
        <v>19</v>
      </c>
      <c r="I472" t="s">
        <v>20</v>
      </c>
      <c r="J472" t="s">
        <v>24</v>
      </c>
      <c r="K472" t="s">
        <v>22</v>
      </c>
      <c r="L472" t="s">
        <v>557</v>
      </c>
      <c r="M472" t="s">
        <v>24</v>
      </c>
      <c r="N472">
        <f>IF(Table1[[#This Row],[Akhir]]&lt;Table1[[#This Row],[Awal]],(Table1[[#This Row],[Akhir]]+1)-Table1[[#This Row],[Awal]],Table1[[#This Row],[Akhir]]-Table1[[#This Row],[Awal]])*24</f>
        <v>8.1666666666666679</v>
      </c>
      <c r="O472" t="str">
        <f>IF(Table1[[#This Row],[Duration Real]]&gt;=6,"Major",
IF(Table1[[#This Row],[Duration Real]]&gt;=2,"Medium","Minor"))</f>
        <v>Major</v>
      </c>
    </row>
    <row r="473" spans="1:15" x14ac:dyDescent="0.35">
      <c r="A473" s="2">
        <v>46158</v>
      </c>
      <c r="B473" t="s">
        <v>15</v>
      </c>
      <c r="C473" t="s">
        <v>118</v>
      </c>
      <c r="D473" t="s">
        <v>96</v>
      </c>
      <c r="E473" t="s">
        <v>191</v>
      </c>
      <c r="F473" s="3">
        <v>0.81388888888888888</v>
      </c>
      <c r="G473" s="4">
        <v>0.93888888888888888</v>
      </c>
      <c r="H473" s="5" t="s">
        <v>19</v>
      </c>
      <c r="I473" t="s">
        <v>20</v>
      </c>
      <c r="J473" t="s">
        <v>24</v>
      </c>
      <c r="K473" t="s">
        <v>22</v>
      </c>
      <c r="L473" t="s">
        <v>551</v>
      </c>
      <c r="M473" t="s">
        <v>24</v>
      </c>
      <c r="N473">
        <f>IF(Table1[[#This Row],[Akhir]]&lt;Table1[[#This Row],[Awal]],(Table1[[#This Row],[Akhir]]+1)-Table1[[#This Row],[Awal]],Table1[[#This Row],[Akhir]]-Table1[[#This Row],[Awal]])*24</f>
        <v>3</v>
      </c>
      <c r="O473" t="str">
        <f>IF(Table1[[#This Row],[Duration Real]]&gt;=6,"Major",
IF(Table1[[#This Row],[Duration Real]]&gt;=2,"Medium","Minor"))</f>
        <v>Medium</v>
      </c>
    </row>
    <row r="474" spans="1:15" x14ac:dyDescent="0.35">
      <c r="A474" s="2">
        <v>46158</v>
      </c>
      <c r="B474" t="s">
        <v>94</v>
      </c>
      <c r="C474" t="s">
        <v>95</v>
      </c>
      <c r="D474" t="s">
        <v>558</v>
      </c>
      <c r="E474" t="s">
        <v>481</v>
      </c>
      <c r="F474" s="3">
        <v>0.54166666666666663</v>
      </c>
      <c r="G474" s="4">
        <v>0.58888888888888891</v>
      </c>
      <c r="H474" s="5" t="s">
        <v>19</v>
      </c>
      <c r="I474" t="s">
        <v>26</v>
      </c>
      <c r="J474" t="s">
        <v>24</v>
      </c>
      <c r="K474" t="s">
        <v>22</v>
      </c>
      <c r="L474" t="s">
        <v>43</v>
      </c>
      <c r="M474" t="s">
        <v>24</v>
      </c>
      <c r="N474">
        <f>IF(Table1[[#This Row],[Akhir]]&lt;Table1[[#This Row],[Awal]],(Table1[[#This Row],[Akhir]]+1)-Table1[[#This Row],[Awal]],Table1[[#This Row],[Akhir]]-Table1[[#This Row],[Awal]])*24</f>
        <v>1.1333333333333346</v>
      </c>
      <c r="O474" t="str">
        <f>IF(Table1[[#This Row],[Duration Real]]&gt;=6,"Major",
IF(Table1[[#This Row],[Duration Real]]&gt;=2,"Medium","Minor"))</f>
        <v>Minor</v>
      </c>
    </row>
    <row r="475" spans="1:15" x14ac:dyDescent="0.35">
      <c r="A475" s="2">
        <v>46158</v>
      </c>
      <c r="B475" t="s">
        <v>94</v>
      </c>
      <c r="C475" t="s">
        <v>204</v>
      </c>
      <c r="D475" t="s">
        <v>495</v>
      </c>
      <c r="E475" t="s">
        <v>559</v>
      </c>
      <c r="F475" s="3">
        <v>0.25</v>
      </c>
      <c r="G475" s="4">
        <v>0.35625000000000001</v>
      </c>
      <c r="H475" s="5" t="s">
        <v>19</v>
      </c>
      <c r="I475" t="s">
        <v>26</v>
      </c>
      <c r="J475" t="s">
        <v>24</v>
      </c>
      <c r="K475" t="s">
        <v>22</v>
      </c>
      <c r="L475" t="s">
        <v>143</v>
      </c>
      <c r="M475" t="s">
        <v>24</v>
      </c>
      <c r="N475">
        <f>IF(Table1[[#This Row],[Akhir]]&lt;Table1[[#This Row],[Awal]],(Table1[[#This Row],[Akhir]]+1)-Table1[[#This Row],[Awal]],Table1[[#This Row],[Akhir]]-Table1[[#This Row],[Awal]])*24</f>
        <v>2.5500000000000003</v>
      </c>
      <c r="O475" t="str">
        <f>IF(Table1[[#This Row],[Duration Real]]&gt;=6,"Major",
IF(Table1[[#This Row],[Duration Real]]&gt;=2,"Medium","Minor"))</f>
        <v>Medium</v>
      </c>
    </row>
    <row r="476" spans="1:15" x14ac:dyDescent="0.35">
      <c r="A476" s="2">
        <v>46159</v>
      </c>
      <c r="B476" t="s">
        <v>15</v>
      </c>
      <c r="C476" t="s">
        <v>16</v>
      </c>
      <c r="D476" t="s">
        <v>560</v>
      </c>
      <c r="E476" t="s">
        <v>144</v>
      </c>
      <c r="F476" s="3">
        <v>0.81805555555555554</v>
      </c>
      <c r="G476" s="4">
        <v>0.86111111111111116</v>
      </c>
      <c r="H476" s="5" t="s">
        <v>19</v>
      </c>
      <c r="I476" t="s">
        <v>20</v>
      </c>
      <c r="J476" t="s">
        <v>24</v>
      </c>
      <c r="K476" t="s">
        <v>39</v>
      </c>
      <c r="L476" t="s">
        <v>366</v>
      </c>
      <c r="M476" t="s">
        <v>24</v>
      </c>
      <c r="N476">
        <f>IF(Table1[[#This Row],[Akhir]]&lt;Table1[[#This Row],[Awal]],(Table1[[#This Row],[Akhir]]+1)-Table1[[#This Row],[Awal]],Table1[[#This Row],[Akhir]]-Table1[[#This Row],[Awal]])*24</f>
        <v>1.033333333333335</v>
      </c>
      <c r="O476" t="str">
        <f>IF(Table1[[#This Row],[Duration Real]]&gt;=6,"Major",
IF(Table1[[#This Row],[Duration Real]]&gt;=2,"Medium","Minor"))</f>
        <v>Minor</v>
      </c>
    </row>
    <row r="477" spans="1:15" x14ac:dyDescent="0.35">
      <c r="A477" s="2">
        <v>46159</v>
      </c>
      <c r="B477" t="s">
        <v>15</v>
      </c>
      <c r="C477" t="s">
        <v>32</v>
      </c>
      <c r="D477" t="s">
        <v>428</v>
      </c>
      <c r="E477" t="s">
        <v>34</v>
      </c>
      <c r="F477" s="3">
        <v>0.25</v>
      </c>
      <c r="G477" s="4">
        <v>0.75</v>
      </c>
      <c r="H477" s="5" t="s">
        <v>19</v>
      </c>
      <c r="I477" t="s">
        <v>26</v>
      </c>
      <c r="J477" t="s">
        <v>24</v>
      </c>
      <c r="K477" t="s">
        <v>22</v>
      </c>
      <c r="L477" t="s">
        <v>43</v>
      </c>
      <c r="M477" t="s">
        <v>24</v>
      </c>
      <c r="N477">
        <f>IF(Table1[[#This Row],[Akhir]]&lt;Table1[[#This Row],[Awal]],(Table1[[#This Row],[Akhir]]+1)-Table1[[#This Row],[Awal]],Table1[[#This Row],[Akhir]]-Table1[[#This Row],[Awal]])*24</f>
        <v>12</v>
      </c>
      <c r="O477" t="str">
        <f>IF(Table1[[#This Row],[Duration Real]]&gt;=6,"Major",
IF(Table1[[#This Row],[Duration Real]]&gt;=2,"Medium","Minor"))</f>
        <v>Major</v>
      </c>
    </row>
    <row r="478" spans="1:15" x14ac:dyDescent="0.35">
      <c r="A478" s="2">
        <v>46159</v>
      </c>
      <c r="B478" t="s">
        <v>15</v>
      </c>
      <c r="C478" t="s">
        <v>32</v>
      </c>
      <c r="D478" t="s">
        <v>428</v>
      </c>
      <c r="E478" t="s">
        <v>34</v>
      </c>
      <c r="F478" s="3">
        <v>0.75</v>
      </c>
      <c r="G478" s="4">
        <v>0.25</v>
      </c>
      <c r="H478" s="5" t="s">
        <v>19</v>
      </c>
      <c r="I478" t="s">
        <v>20</v>
      </c>
      <c r="J478" t="s">
        <v>24</v>
      </c>
      <c r="K478" t="s">
        <v>22</v>
      </c>
      <c r="L478" t="s">
        <v>43</v>
      </c>
      <c r="M478" t="s">
        <v>24</v>
      </c>
      <c r="N478">
        <f>IF(Table1[[#This Row],[Akhir]]&lt;Table1[[#This Row],[Awal]],(Table1[[#This Row],[Akhir]]+1)-Table1[[#This Row],[Awal]],Table1[[#This Row],[Akhir]]-Table1[[#This Row],[Awal]])*24</f>
        <v>12</v>
      </c>
      <c r="O478" t="str">
        <f>IF(Table1[[#This Row],[Duration Real]]&gt;=6,"Major",
IF(Table1[[#This Row],[Duration Real]]&gt;=2,"Medium","Minor"))</f>
        <v>Major</v>
      </c>
    </row>
    <row r="479" spans="1:15" x14ac:dyDescent="0.35">
      <c r="A479" s="2">
        <v>46159</v>
      </c>
      <c r="B479" t="s">
        <v>15</v>
      </c>
      <c r="C479" t="s">
        <v>36</v>
      </c>
      <c r="D479" t="s">
        <v>561</v>
      </c>
      <c r="E479" t="s">
        <v>562</v>
      </c>
      <c r="F479" s="3">
        <v>0.625</v>
      </c>
      <c r="G479" s="4">
        <v>0.65972222222222221</v>
      </c>
      <c r="H479" s="5" t="s">
        <v>19</v>
      </c>
      <c r="I479" t="s">
        <v>26</v>
      </c>
      <c r="J479" t="s">
        <v>24</v>
      </c>
      <c r="K479" t="s">
        <v>22</v>
      </c>
      <c r="L479" t="s">
        <v>563</v>
      </c>
      <c r="M479" t="s">
        <v>24</v>
      </c>
      <c r="N479">
        <f>IF(Table1[[#This Row],[Akhir]]&lt;Table1[[#This Row],[Awal]],(Table1[[#This Row],[Akhir]]+1)-Table1[[#This Row],[Awal]],Table1[[#This Row],[Akhir]]-Table1[[#This Row],[Awal]])*24</f>
        <v>0.83333333333333304</v>
      </c>
      <c r="O479" t="str">
        <f>IF(Table1[[#This Row],[Duration Real]]&gt;=6,"Major",
IF(Table1[[#This Row],[Duration Real]]&gt;=2,"Medium","Minor"))</f>
        <v>Minor</v>
      </c>
    </row>
    <row r="480" spans="1:15" x14ac:dyDescent="0.35">
      <c r="A480" s="2">
        <v>46159</v>
      </c>
      <c r="B480" t="s">
        <v>15</v>
      </c>
      <c r="C480" t="s">
        <v>36</v>
      </c>
      <c r="D480" t="s">
        <v>155</v>
      </c>
      <c r="E480" t="s">
        <v>553</v>
      </c>
      <c r="F480" s="3">
        <v>0.75</v>
      </c>
      <c r="G480" s="4">
        <v>0.86111111111111116</v>
      </c>
      <c r="H480" s="5" t="s">
        <v>19</v>
      </c>
      <c r="I480" t="s">
        <v>20</v>
      </c>
      <c r="J480" t="s">
        <v>24</v>
      </c>
      <c r="K480" t="s">
        <v>39</v>
      </c>
      <c r="L480" t="s">
        <v>564</v>
      </c>
      <c r="M480" t="s">
        <v>24</v>
      </c>
      <c r="N480">
        <f>IF(Table1[[#This Row],[Akhir]]&lt;Table1[[#This Row],[Awal]],(Table1[[#This Row],[Akhir]]+1)-Table1[[#This Row],[Awal]],Table1[[#This Row],[Akhir]]-Table1[[#This Row],[Awal]])*24</f>
        <v>2.6666666666666679</v>
      </c>
      <c r="O480" t="str">
        <f>IF(Table1[[#This Row],[Duration Real]]&gt;=6,"Major",
IF(Table1[[#This Row],[Duration Real]]&gt;=2,"Medium","Minor"))</f>
        <v>Medium</v>
      </c>
    </row>
    <row r="481" spans="1:15" x14ac:dyDescent="0.35">
      <c r="A481" s="2">
        <v>46159</v>
      </c>
      <c r="B481" t="s">
        <v>15</v>
      </c>
      <c r="C481" t="s">
        <v>41</v>
      </c>
      <c r="D481" t="s">
        <v>435</v>
      </c>
      <c r="E481" t="s">
        <v>34</v>
      </c>
      <c r="F481" s="3">
        <v>0.25</v>
      </c>
      <c r="G481" s="4">
        <v>0.75</v>
      </c>
      <c r="H481" s="5" t="s">
        <v>19</v>
      </c>
      <c r="I481" t="s">
        <v>26</v>
      </c>
      <c r="J481" t="s">
        <v>24</v>
      </c>
      <c r="K481" t="s">
        <v>39</v>
      </c>
      <c r="L481" t="s">
        <v>43</v>
      </c>
      <c r="M481" t="s">
        <v>24</v>
      </c>
      <c r="N481">
        <f>IF(Table1[[#This Row],[Akhir]]&lt;Table1[[#This Row],[Awal]],(Table1[[#This Row],[Akhir]]+1)-Table1[[#This Row],[Awal]],Table1[[#This Row],[Akhir]]-Table1[[#This Row],[Awal]])*24</f>
        <v>12</v>
      </c>
      <c r="O481" t="str">
        <f>IF(Table1[[#This Row],[Duration Real]]&gt;=6,"Major",
IF(Table1[[#This Row],[Duration Real]]&gt;=2,"Medium","Minor"))</f>
        <v>Major</v>
      </c>
    </row>
    <row r="482" spans="1:15" x14ac:dyDescent="0.35">
      <c r="A482" s="2">
        <v>46159</v>
      </c>
      <c r="B482" t="s">
        <v>15</v>
      </c>
      <c r="C482" t="s">
        <v>41</v>
      </c>
      <c r="D482" t="s">
        <v>435</v>
      </c>
      <c r="E482" t="s">
        <v>34</v>
      </c>
      <c r="F482" s="3">
        <v>0.75</v>
      </c>
      <c r="G482" s="4">
        <v>0.25</v>
      </c>
      <c r="H482" s="5" t="s">
        <v>19</v>
      </c>
      <c r="I482" t="s">
        <v>20</v>
      </c>
      <c r="J482" t="s">
        <v>24</v>
      </c>
      <c r="K482" t="s">
        <v>39</v>
      </c>
      <c r="L482" t="s">
        <v>43</v>
      </c>
      <c r="M482" t="s">
        <v>24</v>
      </c>
      <c r="N482">
        <f>IF(Table1[[#This Row],[Akhir]]&lt;Table1[[#This Row],[Awal]],(Table1[[#This Row],[Akhir]]+1)-Table1[[#This Row],[Awal]],Table1[[#This Row],[Akhir]]-Table1[[#This Row],[Awal]])*24</f>
        <v>12</v>
      </c>
      <c r="O482" t="str">
        <f>IF(Table1[[#This Row],[Duration Real]]&gt;=6,"Major",
IF(Table1[[#This Row],[Duration Real]]&gt;=2,"Medium","Minor"))</f>
        <v>Major</v>
      </c>
    </row>
    <row r="483" spans="1:15" x14ac:dyDescent="0.35">
      <c r="A483" s="2">
        <v>46159</v>
      </c>
      <c r="B483" t="s">
        <v>15</v>
      </c>
      <c r="C483" t="s">
        <v>44</v>
      </c>
      <c r="D483" t="s">
        <v>45</v>
      </c>
      <c r="E483" t="s">
        <v>34</v>
      </c>
      <c r="F483" s="3">
        <v>0.25</v>
      </c>
      <c r="G483" s="4">
        <v>0.75</v>
      </c>
      <c r="H483" s="5" t="s">
        <v>19</v>
      </c>
      <c r="I483" t="s">
        <v>26</v>
      </c>
      <c r="J483" t="s">
        <v>24</v>
      </c>
      <c r="K483" t="s">
        <v>46</v>
      </c>
      <c r="L483" t="s">
        <v>47</v>
      </c>
      <c r="M483" t="s">
        <v>24</v>
      </c>
      <c r="N483">
        <f>IF(Table1[[#This Row],[Akhir]]&lt;Table1[[#This Row],[Awal]],(Table1[[#This Row],[Akhir]]+1)-Table1[[#This Row],[Awal]],Table1[[#This Row],[Akhir]]-Table1[[#This Row],[Awal]])*24</f>
        <v>12</v>
      </c>
      <c r="O483" t="str">
        <f>IF(Table1[[#This Row],[Duration Real]]&gt;=6,"Major",
IF(Table1[[#This Row],[Duration Real]]&gt;=2,"Medium","Minor"))</f>
        <v>Major</v>
      </c>
    </row>
    <row r="484" spans="1:15" x14ac:dyDescent="0.35">
      <c r="A484" s="2">
        <v>46159</v>
      </c>
      <c r="B484" t="s">
        <v>15</v>
      </c>
      <c r="C484" t="s">
        <v>44</v>
      </c>
      <c r="D484" t="s">
        <v>45</v>
      </c>
      <c r="E484" t="s">
        <v>34</v>
      </c>
      <c r="F484" s="3">
        <v>0.75</v>
      </c>
      <c r="G484" s="4">
        <v>0.25</v>
      </c>
      <c r="H484" s="5" t="s">
        <v>19</v>
      </c>
      <c r="I484" t="s">
        <v>20</v>
      </c>
      <c r="J484" t="s">
        <v>24</v>
      </c>
      <c r="K484" t="s">
        <v>46</v>
      </c>
      <c r="L484" t="s">
        <v>47</v>
      </c>
      <c r="M484" t="s">
        <v>24</v>
      </c>
      <c r="N484">
        <f>IF(Table1[[#This Row],[Akhir]]&lt;Table1[[#This Row],[Awal]],(Table1[[#This Row],[Akhir]]+1)-Table1[[#This Row],[Awal]],Table1[[#This Row],[Akhir]]-Table1[[#This Row],[Awal]])*24</f>
        <v>12</v>
      </c>
      <c r="O484" t="str">
        <f>IF(Table1[[#This Row],[Duration Real]]&gt;=6,"Major",
IF(Table1[[#This Row],[Duration Real]]&gt;=2,"Medium","Minor"))</f>
        <v>Major</v>
      </c>
    </row>
    <row r="485" spans="1:15" x14ac:dyDescent="0.35">
      <c r="A485" s="2">
        <v>46159</v>
      </c>
      <c r="B485" t="s">
        <v>15</v>
      </c>
      <c r="C485" t="s">
        <v>48</v>
      </c>
      <c r="D485" t="s">
        <v>49</v>
      </c>
      <c r="E485" t="s">
        <v>565</v>
      </c>
      <c r="F485" s="3">
        <v>0.39513888888888887</v>
      </c>
      <c r="G485" s="4">
        <v>0.57638888888888884</v>
      </c>
      <c r="H485" s="5" t="s">
        <v>19</v>
      </c>
      <c r="I485" t="s">
        <v>26</v>
      </c>
      <c r="J485" t="s">
        <v>566</v>
      </c>
      <c r="K485" t="s">
        <v>22</v>
      </c>
      <c r="L485" t="s">
        <v>51</v>
      </c>
      <c r="M485" t="s">
        <v>24</v>
      </c>
      <c r="N485">
        <f>IF(Table1[[#This Row],[Akhir]]&lt;Table1[[#This Row],[Awal]],(Table1[[#This Row],[Akhir]]+1)-Table1[[#This Row],[Awal]],Table1[[#This Row],[Akhir]]-Table1[[#This Row],[Awal]])*24</f>
        <v>4.3499999999999996</v>
      </c>
      <c r="O485" t="str">
        <f>IF(Table1[[#This Row],[Duration Real]]&gt;=6,"Major",
IF(Table1[[#This Row],[Duration Real]]&gt;=2,"Medium","Minor"))</f>
        <v>Medium</v>
      </c>
    </row>
    <row r="486" spans="1:15" x14ac:dyDescent="0.35">
      <c r="A486" s="2">
        <v>46159</v>
      </c>
      <c r="B486" t="s">
        <v>15</v>
      </c>
      <c r="C486" t="s">
        <v>57</v>
      </c>
      <c r="D486" t="s">
        <v>567</v>
      </c>
      <c r="E486" t="s">
        <v>180</v>
      </c>
      <c r="F486" s="3">
        <v>0.75</v>
      </c>
      <c r="G486" s="4">
        <v>0.86458333333333337</v>
      </c>
      <c r="H486" s="5" t="s">
        <v>19</v>
      </c>
      <c r="I486" t="s">
        <v>20</v>
      </c>
      <c r="J486" t="s">
        <v>24</v>
      </c>
      <c r="K486" t="s">
        <v>22</v>
      </c>
      <c r="L486" t="s">
        <v>130</v>
      </c>
      <c r="M486" t="s">
        <v>24</v>
      </c>
      <c r="N486">
        <f>IF(Table1[[#This Row],[Akhir]]&lt;Table1[[#This Row],[Awal]],(Table1[[#This Row],[Akhir]]+1)-Table1[[#This Row],[Awal]],Table1[[#This Row],[Akhir]]-Table1[[#This Row],[Awal]])*24</f>
        <v>2.7500000000000009</v>
      </c>
      <c r="O486" t="str">
        <f>IF(Table1[[#This Row],[Duration Real]]&gt;=6,"Major",
IF(Table1[[#This Row],[Duration Real]]&gt;=2,"Medium","Minor"))</f>
        <v>Medium</v>
      </c>
    </row>
    <row r="487" spans="1:15" x14ac:dyDescent="0.35">
      <c r="A487" s="2">
        <v>46159</v>
      </c>
      <c r="B487" t="s">
        <v>15</v>
      </c>
      <c r="C487" t="s">
        <v>230</v>
      </c>
      <c r="D487" t="s">
        <v>313</v>
      </c>
      <c r="E487" t="s">
        <v>167</v>
      </c>
      <c r="F487" s="3">
        <v>0.77083333333333337</v>
      </c>
      <c r="G487" s="4">
        <v>0.81041666666666667</v>
      </c>
      <c r="H487" s="5" t="s">
        <v>19</v>
      </c>
      <c r="I487" t="s">
        <v>20</v>
      </c>
      <c r="J487" t="s">
        <v>24</v>
      </c>
      <c r="K487" t="s">
        <v>22</v>
      </c>
      <c r="L487" t="s">
        <v>440</v>
      </c>
      <c r="M487" t="s">
        <v>24</v>
      </c>
      <c r="N487">
        <f>IF(Table1[[#This Row],[Akhir]]&lt;Table1[[#This Row],[Awal]],(Table1[[#This Row],[Akhir]]+1)-Table1[[#This Row],[Awal]],Table1[[#This Row],[Akhir]]-Table1[[#This Row],[Awal]])*24</f>
        <v>0.94999999999999929</v>
      </c>
      <c r="O487" t="str">
        <f>IF(Table1[[#This Row],[Duration Real]]&gt;=6,"Major",
IF(Table1[[#This Row],[Duration Real]]&gt;=2,"Medium","Minor"))</f>
        <v>Minor</v>
      </c>
    </row>
    <row r="488" spans="1:15" x14ac:dyDescent="0.35">
      <c r="A488" s="2">
        <v>46159</v>
      </c>
      <c r="B488" t="s">
        <v>15</v>
      </c>
      <c r="C488" t="s">
        <v>64</v>
      </c>
      <c r="D488" t="s">
        <v>61</v>
      </c>
      <c r="E488" t="s">
        <v>195</v>
      </c>
      <c r="F488" s="3">
        <v>0.41180555555555554</v>
      </c>
      <c r="G488" s="4">
        <v>0.45624999999999999</v>
      </c>
      <c r="H488" s="5" t="s">
        <v>19</v>
      </c>
      <c r="I488" t="s">
        <v>26</v>
      </c>
      <c r="J488" t="s">
        <v>24</v>
      </c>
      <c r="K488" t="s">
        <v>22</v>
      </c>
      <c r="L488" t="s">
        <v>143</v>
      </c>
      <c r="M488" t="s">
        <v>24</v>
      </c>
      <c r="N488">
        <f>IF(Table1[[#This Row],[Akhir]]&lt;Table1[[#This Row],[Awal]],(Table1[[#This Row],[Akhir]]+1)-Table1[[#This Row],[Awal]],Table1[[#This Row],[Akhir]]-Table1[[#This Row],[Awal]])*24</f>
        <v>1.0666666666666669</v>
      </c>
      <c r="O488" t="str">
        <f>IF(Table1[[#This Row],[Duration Real]]&gt;=6,"Major",
IF(Table1[[#This Row],[Duration Real]]&gt;=2,"Medium","Minor"))</f>
        <v>Minor</v>
      </c>
    </row>
    <row r="489" spans="1:15" x14ac:dyDescent="0.35">
      <c r="A489" s="2">
        <v>46159</v>
      </c>
      <c r="B489" t="s">
        <v>15</v>
      </c>
      <c r="C489" t="s">
        <v>76</v>
      </c>
      <c r="D489" t="s">
        <v>301</v>
      </c>
      <c r="E489" t="s">
        <v>212</v>
      </c>
      <c r="F489" s="3">
        <v>0.7680555555555556</v>
      </c>
      <c r="G489" s="4">
        <v>0.86458333333333337</v>
      </c>
      <c r="H489" s="5" t="s">
        <v>19</v>
      </c>
      <c r="I489" t="s">
        <v>20</v>
      </c>
      <c r="J489" t="s">
        <v>568</v>
      </c>
      <c r="K489" t="s">
        <v>39</v>
      </c>
      <c r="L489" t="s">
        <v>143</v>
      </c>
      <c r="M489" t="s">
        <v>24</v>
      </c>
      <c r="N489">
        <f>IF(Table1[[#This Row],[Akhir]]&lt;Table1[[#This Row],[Awal]],(Table1[[#This Row],[Akhir]]+1)-Table1[[#This Row],[Awal]],Table1[[#This Row],[Akhir]]-Table1[[#This Row],[Awal]])*24</f>
        <v>2.3166666666666664</v>
      </c>
      <c r="O489" t="str">
        <f>IF(Table1[[#This Row],[Duration Real]]&gt;=6,"Major",
IF(Table1[[#This Row],[Duration Real]]&gt;=2,"Medium","Minor"))</f>
        <v>Medium</v>
      </c>
    </row>
    <row r="490" spans="1:15" x14ac:dyDescent="0.35">
      <c r="A490" s="2">
        <v>46159</v>
      </c>
      <c r="B490" t="s">
        <v>15</v>
      </c>
      <c r="C490" t="s">
        <v>85</v>
      </c>
      <c r="D490" t="s">
        <v>569</v>
      </c>
      <c r="E490" t="s">
        <v>491</v>
      </c>
      <c r="F490" s="3">
        <v>0.92569444444444449</v>
      </c>
      <c r="G490" s="4">
        <v>2.1527777777777778E-2</v>
      </c>
      <c r="H490" s="5" t="s">
        <v>19</v>
      </c>
      <c r="I490" t="s">
        <v>20</v>
      </c>
      <c r="J490" t="s">
        <v>570</v>
      </c>
      <c r="K490" t="s">
        <v>22</v>
      </c>
      <c r="L490" t="s">
        <v>571</v>
      </c>
      <c r="M490" t="s">
        <v>24</v>
      </c>
      <c r="N490">
        <f>IF(Table1[[#This Row],[Akhir]]&lt;Table1[[#This Row],[Awal]],(Table1[[#This Row],[Akhir]]+1)-Table1[[#This Row],[Awal]],Table1[[#This Row],[Akhir]]-Table1[[#This Row],[Awal]])*24</f>
        <v>2.2999999999999998</v>
      </c>
      <c r="O490" t="str">
        <f>IF(Table1[[#This Row],[Duration Real]]&gt;=6,"Major",
IF(Table1[[#This Row],[Duration Real]]&gt;=2,"Medium","Minor"))</f>
        <v>Medium</v>
      </c>
    </row>
    <row r="491" spans="1:15" x14ac:dyDescent="0.35">
      <c r="A491" s="2">
        <v>46159</v>
      </c>
      <c r="B491" t="s">
        <v>15</v>
      </c>
      <c r="C491" t="s">
        <v>85</v>
      </c>
      <c r="D491" t="s">
        <v>301</v>
      </c>
      <c r="E491" t="s">
        <v>199</v>
      </c>
      <c r="F491" s="3">
        <v>0.75</v>
      </c>
      <c r="G491" s="4">
        <v>0.77500000000000002</v>
      </c>
      <c r="H491" s="5" t="s">
        <v>19</v>
      </c>
      <c r="I491" t="s">
        <v>20</v>
      </c>
      <c r="J491" t="s">
        <v>24</v>
      </c>
      <c r="K491" t="s">
        <v>22</v>
      </c>
      <c r="L491" t="s">
        <v>572</v>
      </c>
      <c r="M491" t="s">
        <v>24</v>
      </c>
      <c r="N491">
        <f>IF(Table1[[#This Row],[Akhir]]&lt;Table1[[#This Row],[Awal]],(Table1[[#This Row],[Akhir]]+1)-Table1[[#This Row],[Awal]],Table1[[#This Row],[Akhir]]-Table1[[#This Row],[Awal]])*24</f>
        <v>0.60000000000000053</v>
      </c>
      <c r="O491" t="str">
        <f>IF(Table1[[#This Row],[Duration Real]]&gt;=6,"Major",
IF(Table1[[#This Row],[Duration Real]]&gt;=2,"Medium","Minor"))</f>
        <v>Minor</v>
      </c>
    </row>
    <row r="492" spans="1:15" x14ac:dyDescent="0.35">
      <c r="A492" s="2">
        <v>46159</v>
      </c>
      <c r="B492" t="s">
        <v>15</v>
      </c>
      <c r="C492" t="s">
        <v>85</v>
      </c>
      <c r="D492" t="s">
        <v>573</v>
      </c>
      <c r="E492" t="s">
        <v>56</v>
      </c>
      <c r="F492" s="3">
        <v>0.25</v>
      </c>
      <c r="G492" s="4">
        <v>0.45833333333333331</v>
      </c>
      <c r="H492" s="5" t="s">
        <v>19</v>
      </c>
      <c r="I492" t="s">
        <v>26</v>
      </c>
      <c r="J492" t="s">
        <v>24</v>
      </c>
      <c r="K492" t="s">
        <v>22</v>
      </c>
      <c r="L492" t="s">
        <v>574</v>
      </c>
      <c r="M492" t="s">
        <v>24</v>
      </c>
      <c r="N492">
        <f>IF(Table1[[#This Row],[Akhir]]&lt;Table1[[#This Row],[Awal]],(Table1[[#This Row],[Akhir]]+1)-Table1[[#This Row],[Awal]],Table1[[#This Row],[Akhir]]-Table1[[#This Row],[Awal]])*24</f>
        <v>5</v>
      </c>
      <c r="O492" t="str">
        <f>IF(Table1[[#This Row],[Duration Real]]&gt;=6,"Major",
IF(Table1[[#This Row],[Duration Real]]&gt;=2,"Medium","Minor"))</f>
        <v>Medium</v>
      </c>
    </row>
    <row r="493" spans="1:15" x14ac:dyDescent="0.35">
      <c r="A493" s="2">
        <v>46159</v>
      </c>
      <c r="B493" t="s">
        <v>15</v>
      </c>
      <c r="C493" t="s">
        <v>88</v>
      </c>
      <c r="D493" t="s">
        <v>163</v>
      </c>
      <c r="E493" t="s">
        <v>417</v>
      </c>
      <c r="F493" s="3">
        <v>0.85833333333333328</v>
      </c>
      <c r="G493" s="4">
        <v>0.90833333333333333</v>
      </c>
      <c r="H493" s="5" t="s">
        <v>19</v>
      </c>
      <c r="I493" t="s">
        <v>20</v>
      </c>
      <c r="J493" t="s">
        <v>24</v>
      </c>
      <c r="K493" t="s">
        <v>22</v>
      </c>
      <c r="L493" t="s">
        <v>575</v>
      </c>
      <c r="M493" t="s">
        <v>24</v>
      </c>
      <c r="N493">
        <f>IF(Table1[[#This Row],[Akhir]]&lt;Table1[[#This Row],[Awal]],(Table1[[#This Row],[Akhir]]+1)-Table1[[#This Row],[Awal]],Table1[[#This Row],[Akhir]]-Table1[[#This Row],[Awal]])*24</f>
        <v>1.2000000000000011</v>
      </c>
      <c r="O493" t="str">
        <f>IF(Table1[[#This Row],[Duration Real]]&gt;=6,"Major",
IF(Table1[[#This Row],[Duration Real]]&gt;=2,"Medium","Minor"))</f>
        <v>Minor</v>
      </c>
    </row>
    <row r="494" spans="1:15" x14ac:dyDescent="0.35">
      <c r="A494" s="2">
        <v>46159</v>
      </c>
      <c r="B494" t="s">
        <v>15</v>
      </c>
      <c r="C494" t="s">
        <v>88</v>
      </c>
      <c r="D494" t="s">
        <v>576</v>
      </c>
      <c r="E494" t="s">
        <v>577</v>
      </c>
      <c r="F494" s="3">
        <v>0.83194444444444449</v>
      </c>
      <c r="G494" s="4">
        <v>0.83333333333333337</v>
      </c>
      <c r="H494" s="5" t="s">
        <v>19</v>
      </c>
      <c r="I494" t="s">
        <v>20</v>
      </c>
      <c r="J494" t="s">
        <v>24</v>
      </c>
      <c r="K494" t="s">
        <v>22</v>
      </c>
      <c r="L494" t="s">
        <v>575</v>
      </c>
      <c r="M494" t="s">
        <v>24</v>
      </c>
      <c r="N494">
        <f>IF(Table1[[#This Row],[Akhir]]&lt;Table1[[#This Row],[Awal]],(Table1[[#This Row],[Akhir]]+1)-Table1[[#This Row],[Awal]],Table1[[#This Row],[Akhir]]-Table1[[#This Row],[Awal]])*24</f>
        <v>3.3333333333333215E-2</v>
      </c>
      <c r="O494" t="str">
        <f>IF(Table1[[#This Row],[Duration Real]]&gt;=6,"Major",
IF(Table1[[#This Row],[Duration Real]]&gt;=2,"Medium","Minor"))</f>
        <v>Minor</v>
      </c>
    </row>
    <row r="495" spans="1:15" x14ac:dyDescent="0.35">
      <c r="A495" s="2">
        <v>46159</v>
      </c>
      <c r="B495" t="s">
        <v>15</v>
      </c>
      <c r="C495" t="s">
        <v>118</v>
      </c>
      <c r="D495" t="s">
        <v>163</v>
      </c>
      <c r="E495" t="s">
        <v>77</v>
      </c>
      <c r="F495" s="3">
        <v>0.70138888888888884</v>
      </c>
      <c r="G495" s="4">
        <v>0.75</v>
      </c>
      <c r="H495" s="5" t="s">
        <v>19</v>
      </c>
      <c r="I495" t="s">
        <v>26</v>
      </c>
      <c r="J495" t="s">
        <v>578</v>
      </c>
      <c r="K495" t="s">
        <v>22</v>
      </c>
      <c r="L495" t="s">
        <v>571</v>
      </c>
      <c r="M495" t="s">
        <v>24</v>
      </c>
      <c r="N495">
        <f>IF(Table1[[#This Row],[Akhir]]&lt;Table1[[#This Row],[Awal]],(Table1[[#This Row],[Akhir]]+1)-Table1[[#This Row],[Awal]],Table1[[#This Row],[Akhir]]-Table1[[#This Row],[Awal]])*24</f>
        <v>1.1666666666666679</v>
      </c>
      <c r="O495" t="str">
        <f>IF(Table1[[#This Row],[Duration Real]]&gt;=6,"Major",
IF(Table1[[#This Row],[Duration Real]]&gt;=2,"Medium","Minor"))</f>
        <v>Minor</v>
      </c>
    </row>
    <row r="496" spans="1:15" x14ac:dyDescent="0.35">
      <c r="A496" s="2">
        <v>46159</v>
      </c>
      <c r="B496" t="s">
        <v>15</v>
      </c>
      <c r="C496" t="s">
        <v>118</v>
      </c>
      <c r="D496" t="s">
        <v>163</v>
      </c>
      <c r="E496" t="s">
        <v>579</v>
      </c>
      <c r="F496" s="3">
        <v>0.75</v>
      </c>
      <c r="G496" s="4">
        <v>0.90833333333333333</v>
      </c>
      <c r="H496" s="5" t="s">
        <v>19</v>
      </c>
      <c r="I496" t="s">
        <v>20</v>
      </c>
      <c r="J496" t="s">
        <v>578</v>
      </c>
      <c r="K496" t="s">
        <v>22</v>
      </c>
      <c r="L496" t="s">
        <v>571</v>
      </c>
      <c r="M496" t="s">
        <v>24</v>
      </c>
      <c r="N496">
        <f>IF(Table1[[#This Row],[Akhir]]&lt;Table1[[#This Row],[Awal]],(Table1[[#This Row],[Akhir]]+1)-Table1[[#This Row],[Awal]],Table1[[#This Row],[Akhir]]-Table1[[#This Row],[Awal]])*24</f>
        <v>3.8</v>
      </c>
      <c r="O496" t="str">
        <f>IF(Table1[[#This Row],[Duration Real]]&gt;=6,"Major",
IF(Table1[[#This Row],[Duration Real]]&gt;=2,"Medium","Minor"))</f>
        <v>Medium</v>
      </c>
    </row>
    <row r="497" spans="1:15" x14ac:dyDescent="0.35">
      <c r="A497" s="2">
        <v>46159</v>
      </c>
      <c r="B497" t="s">
        <v>94</v>
      </c>
      <c r="C497" t="s">
        <v>95</v>
      </c>
      <c r="D497" t="s">
        <v>580</v>
      </c>
      <c r="E497" t="s">
        <v>499</v>
      </c>
      <c r="F497" s="3">
        <v>0.77638888888888891</v>
      </c>
      <c r="G497" s="4">
        <v>0.86458333333333337</v>
      </c>
      <c r="H497" s="5" t="s">
        <v>19</v>
      </c>
      <c r="I497" t="s">
        <v>20</v>
      </c>
      <c r="J497" t="s">
        <v>24</v>
      </c>
      <c r="K497" t="s">
        <v>22</v>
      </c>
      <c r="L497" t="s">
        <v>143</v>
      </c>
      <c r="M497" t="s">
        <v>24</v>
      </c>
      <c r="N497">
        <f>IF(Table1[[#This Row],[Akhir]]&lt;Table1[[#This Row],[Awal]],(Table1[[#This Row],[Akhir]]+1)-Table1[[#This Row],[Awal]],Table1[[#This Row],[Akhir]]-Table1[[#This Row],[Awal]])*24</f>
        <v>2.1166666666666671</v>
      </c>
      <c r="O497" t="str">
        <f>IF(Table1[[#This Row],[Duration Real]]&gt;=6,"Major",
IF(Table1[[#This Row],[Duration Real]]&gt;=2,"Medium","Minor"))</f>
        <v>Medium</v>
      </c>
    </row>
    <row r="498" spans="1:15" x14ac:dyDescent="0.35">
      <c r="A498" s="2">
        <v>46160</v>
      </c>
      <c r="B498" t="s">
        <v>15</v>
      </c>
      <c r="C498" t="s">
        <v>16</v>
      </c>
      <c r="D498" t="s">
        <v>581</v>
      </c>
      <c r="E498" t="s">
        <v>582</v>
      </c>
      <c r="F498" s="3">
        <v>0.35069444444444442</v>
      </c>
      <c r="G498" s="4">
        <v>0.4826388888888889</v>
      </c>
      <c r="H498" s="5" t="s">
        <v>19</v>
      </c>
      <c r="I498" t="s">
        <v>26</v>
      </c>
      <c r="J498" t="s">
        <v>24</v>
      </c>
      <c r="K498" t="s">
        <v>22</v>
      </c>
      <c r="L498" t="s">
        <v>366</v>
      </c>
      <c r="M498" t="s">
        <v>24</v>
      </c>
      <c r="N498">
        <f>IF(Table1[[#This Row],[Akhir]]&lt;Table1[[#This Row],[Awal]],(Table1[[#This Row],[Akhir]]+1)-Table1[[#This Row],[Awal]],Table1[[#This Row],[Akhir]]-Table1[[#This Row],[Awal]])*24</f>
        <v>3.1666666666666674</v>
      </c>
      <c r="O498" t="str">
        <f>IF(Table1[[#This Row],[Duration Real]]&gt;=6,"Major",
IF(Table1[[#This Row],[Duration Real]]&gt;=2,"Medium","Minor"))</f>
        <v>Medium</v>
      </c>
    </row>
    <row r="499" spans="1:15" x14ac:dyDescent="0.35">
      <c r="A499" s="2">
        <v>46160</v>
      </c>
      <c r="B499" t="s">
        <v>15</v>
      </c>
      <c r="C499" t="s">
        <v>16</v>
      </c>
      <c r="D499" t="s">
        <v>583</v>
      </c>
      <c r="E499" t="s">
        <v>562</v>
      </c>
      <c r="F499" s="3">
        <v>0.29166666666666669</v>
      </c>
      <c r="G499" s="4">
        <v>0.3263888888888889</v>
      </c>
      <c r="H499" s="5" t="s">
        <v>19</v>
      </c>
      <c r="I499" t="s">
        <v>26</v>
      </c>
      <c r="J499" t="s">
        <v>24</v>
      </c>
      <c r="K499" t="s">
        <v>22</v>
      </c>
      <c r="L499" t="s">
        <v>584</v>
      </c>
      <c r="M499" t="s">
        <v>24</v>
      </c>
      <c r="N499">
        <f>IF(Table1[[#This Row],[Akhir]]&lt;Table1[[#This Row],[Awal]],(Table1[[#This Row],[Akhir]]+1)-Table1[[#This Row],[Awal]],Table1[[#This Row],[Akhir]]-Table1[[#This Row],[Awal]])*24</f>
        <v>0.83333333333333304</v>
      </c>
      <c r="O499" t="str">
        <f>IF(Table1[[#This Row],[Duration Real]]&gt;=6,"Major",
IF(Table1[[#This Row],[Duration Real]]&gt;=2,"Medium","Minor"))</f>
        <v>Minor</v>
      </c>
    </row>
    <row r="500" spans="1:15" x14ac:dyDescent="0.35">
      <c r="A500" s="2">
        <v>46160</v>
      </c>
      <c r="B500" t="s">
        <v>15</v>
      </c>
      <c r="C500" t="s">
        <v>32</v>
      </c>
      <c r="D500" t="s">
        <v>428</v>
      </c>
      <c r="E500" t="s">
        <v>34</v>
      </c>
      <c r="F500" s="3">
        <v>0.25</v>
      </c>
      <c r="G500" s="4">
        <v>0.75</v>
      </c>
      <c r="H500" s="5" t="s">
        <v>19</v>
      </c>
      <c r="I500" t="s">
        <v>26</v>
      </c>
      <c r="J500" t="s">
        <v>24</v>
      </c>
      <c r="K500" t="s">
        <v>22</v>
      </c>
      <c r="L500" t="s">
        <v>43</v>
      </c>
      <c r="M500" t="s">
        <v>24</v>
      </c>
      <c r="N500">
        <f>IF(Table1[[#This Row],[Akhir]]&lt;Table1[[#This Row],[Awal]],(Table1[[#This Row],[Akhir]]+1)-Table1[[#This Row],[Awal]],Table1[[#This Row],[Akhir]]-Table1[[#This Row],[Awal]])*24</f>
        <v>12</v>
      </c>
      <c r="O500" t="str">
        <f>IF(Table1[[#This Row],[Duration Real]]&gt;=6,"Major",
IF(Table1[[#This Row],[Duration Real]]&gt;=2,"Medium","Minor"))</f>
        <v>Major</v>
      </c>
    </row>
    <row r="501" spans="1:15" x14ac:dyDescent="0.35">
      <c r="A501" s="2">
        <v>46160</v>
      </c>
      <c r="B501" t="s">
        <v>15</v>
      </c>
      <c r="C501" t="s">
        <v>32</v>
      </c>
      <c r="D501" t="s">
        <v>428</v>
      </c>
      <c r="E501" t="s">
        <v>34</v>
      </c>
      <c r="F501" s="3">
        <v>0.75</v>
      </c>
      <c r="G501" s="4">
        <v>0.25</v>
      </c>
      <c r="H501" s="5" t="s">
        <v>19</v>
      </c>
      <c r="I501" t="s">
        <v>20</v>
      </c>
      <c r="J501" t="s">
        <v>24</v>
      </c>
      <c r="K501" t="s">
        <v>22</v>
      </c>
      <c r="L501" t="s">
        <v>43</v>
      </c>
      <c r="M501" t="s">
        <v>24</v>
      </c>
      <c r="N501">
        <f>IF(Table1[[#This Row],[Akhir]]&lt;Table1[[#This Row],[Awal]],(Table1[[#This Row],[Akhir]]+1)-Table1[[#This Row],[Awal]],Table1[[#This Row],[Akhir]]-Table1[[#This Row],[Awal]])*24</f>
        <v>12</v>
      </c>
      <c r="O501" t="str">
        <f>IF(Table1[[#This Row],[Duration Real]]&gt;=6,"Major",
IF(Table1[[#This Row],[Duration Real]]&gt;=2,"Medium","Minor"))</f>
        <v>Major</v>
      </c>
    </row>
    <row r="502" spans="1:15" x14ac:dyDescent="0.35">
      <c r="A502" s="2">
        <v>46160</v>
      </c>
      <c r="B502" t="s">
        <v>15</v>
      </c>
      <c r="C502" t="s">
        <v>41</v>
      </c>
      <c r="D502" t="s">
        <v>435</v>
      </c>
      <c r="E502" t="s">
        <v>34</v>
      </c>
      <c r="F502" s="3">
        <v>0.25</v>
      </c>
      <c r="G502" s="4">
        <v>0.75</v>
      </c>
      <c r="H502" s="5" t="s">
        <v>19</v>
      </c>
      <c r="I502" t="s">
        <v>26</v>
      </c>
      <c r="J502" t="s">
        <v>24</v>
      </c>
      <c r="K502" t="s">
        <v>39</v>
      </c>
      <c r="L502" t="s">
        <v>43</v>
      </c>
      <c r="M502" t="s">
        <v>24</v>
      </c>
      <c r="N502">
        <f>IF(Table1[[#This Row],[Akhir]]&lt;Table1[[#This Row],[Awal]],(Table1[[#This Row],[Akhir]]+1)-Table1[[#This Row],[Awal]],Table1[[#This Row],[Akhir]]-Table1[[#This Row],[Awal]])*24</f>
        <v>12</v>
      </c>
      <c r="O502" t="str">
        <f>IF(Table1[[#This Row],[Duration Real]]&gt;=6,"Major",
IF(Table1[[#This Row],[Duration Real]]&gt;=2,"Medium","Minor"))</f>
        <v>Major</v>
      </c>
    </row>
    <row r="503" spans="1:15" x14ac:dyDescent="0.35">
      <c r="A503" s="2">
        <v>46160</v>
      </c>
      <c r="B503" t="s">
        <v>15</v>
      </c>
      <c r="C503" t="s">
        <v>41</v>
      </c>
      <c r="D503" t="s">
        <v>435</v>
      </c>
      <c r="E503" t="s">
        <v>34</v>
      </c>
      <c r="F503" s="3">
        <v>0.75</v>
      </c>
      <c r="G503" s="4">
        <v>0.25</v>
      </c>
      <c r="H503" s="5" t="s">
        <v>19</v>
      </c>
      <c r="I503" t="s">
        <v>20</v>
      </c>
      <c r="J503" t="s">
        <v>24</v>
      </c>
      <c r="K503" t="s">
        <v>39</v>
      </c>
      <c r="L503" t="s">
        <v>43</v>
      </c>
      <c r="M503" t="s">
        <v>24</v>
      </c>
      <c r="N503">
        <f>IF(Table1[[#This Row],[Akhir]]&lt;Table1[[#This Row],[Awal]],(Table1[[#This Row],[Akhir]]+1)-Table1[[#This Row],[Awal]],Table1[[#This Row],[Akhir]]-Table1[[#This Row],[Awal]])*24</f>
        <v>12</v>
      </c>
      <c r="O503" t="str">
        <f>IF(Table1[[#This Row],[Duration Real]]&gt;=6,"Major",
IF(Table1[[#This Row],[Duration Real]]&gt;=2,"Medium","Minor"))</f>
        <v>Major</v>
      </c>
    </row>
    <row r="504" spans="1:15" x14ac:dyDescent="0.35">
      <c r="A504" s="2">
        <v>46160</v>
      </c>
      <c r="B504" t="s">
        <v>15</v>
      </c>
      <c r="C504" t="s">
        <v>44</v>
      </c>
      <c r="D504" t="s">
        <v>45</v>
      </c>
      <c r="E504" t="s">
        <v>34</v>
      </c>
      <c r="F504" s="3">
        <v>0.25</v>
      </c>
      <c r="G504" s="4">
        <v>0.75</v>
      </c>
      <c r="H504" s="5" t="s">
        <v>19</v>
      </c>
      <c r="I504" t="s">
        <v>26</v>
      </c>
      <c r="J504" t="s">
        <v>24</v>
      </c>
      <c r="K504" t="s">
        <v>46</v>
      </c>
      <c r="L504" t="s">
        <v>47</v>
      </c>
      <c r="M504" t="s">
        <v>24</v>
      </c>
      <c r="N504">
        <f>IF(Table1[[#This Row],[Akhir]]&lt;Table1[[#This Row],[Awal]],(Table1[[#This Row],[Akhir]]+1)-Table1[[#This Row],[Awal]],Table1[[#This Row],[Akhir]]-Table1[[#This Row],[Awal]])*24</f>
        <v>12</v>
      </c>
      <c r="O504" t="str">
        <f>IF(Table1[[#This Row],[Duration Real]]&gt;=6,"Major",
IF(Table1[[#This Row],[Duration Real]]&gt;=2,"Medium","Minor"))</f>
        <v>Major</v>
      </c>
    </row>
    <row r="505" spans="1:15" x14ac:dyDescent="0.35">
      <c r="A505" s="2">
        <v>46160</v>
      </c>
      <c r="B505" t="s">
        <v>15</v>
      </c>
      <c r="C505" t="s">
        <v>44</v>
      </c>
      <c r="D505" t="s">
        <v>45</v>
      </c>
      <c r="E505" t="s">
        <v>34</v>
      </c>
      <c r="F505" s="3">
        <v>0.75</v>
      </c>
      <c r="G505" s="4">
        <v>0.25</v>
      </c>
      <c r="H505" s="5" t="s">
        <v>19</v>
      </c>
      <c r="I505" t="s">
        <v>20</v>
      </c>
      <c r="J505" t="s">
        <v>24</v>
      </c>
      <c r="K505" t="s">
        <v>46</v>
      </c>
      <c r="L505" t="s">
        <v>47</v>
      </c>
      <c r="M505" t="s">
        <v>24</v>
      </c>
      <c r="N505">
        <f>IF(Table1[[#This Row],[Akhir]]&lt;Table1[[#This Row],[Awal]],(Table1[[#This Row],[Akhir]]+1)-Table1[[#This Row],[Awal]],Table1[[#This Row],[Akhir]]-Table1[[#This Row],[Awal]])*24</f>
        <v>12</v>
      </c>
      <c r="O505" t="str">
        <f>IF(Table1[[#This Row],[Duration Real]]&gt;=6,"Major",
IF(Table1[[#This Row],[Duration Real]]&gt;=2,"Medium","Minor"))</f>
        <v>Major</v>
      </c>
    </row>
    <row r="506" spans="1:15" x14ac:dyDescent="0.35">
      <c r="A506" s="2">
        <v>46160</v>
      </c>
      <c r="B506" t="s">
        <v>15</v>
      </c>
      <c r="C506" t="s">
        <v>48</v>
      </c>
      <c r="D506" t="s">
        <v>585</v>
      </c>
      <c r="E506" t="s">
        <v>77</v>
      </c>
      <c r="F506" s="3">
        <v>0.28472222222222221</v>
      </c>
      <c r="G506" s="4">
        <v>0.33333333333333331</v>
      </c>
      <c r="H506" s="5" t="s">
        <v>19</v>
      </c>
      <c r="I506" t="s">
        <v>26</v>
      </c>
      <c r="J506" t="s">
        <v>586</v>
      </c>
      <c r="K506" t="s">
        <v>107</v>
      </c>
      <c r="L506" t="s">
        <v>51</v>
      </c>
      <c r="M506" t="s">
        <v>24</v>
      </c>
      <c r="N506">
        <f>IF(Table1[[#This Row],[Akhir]]&lt;Table1[[#This Row],[Awal]],(Table1[[#This Row],[Akhir]]+1)-Table1[[#This Row],[Awal]],Table1[[#This Row],[Akhir]]-Table1[[#This Row],[Awal]])*24</f>
        <v>1.1666666666666665</v>
      </c>
      <c r="O506" t="str">
        <f>IF(Table1[[#This Row],[Duration Real]]&gt;=6,"Major",
IF(Table1[[#This Row],[Duration Real]]&gt;=2,"Medium","Minor"))</f>
        <v>Minor</v>
      </c>
    </row>
    <row r="507" spans="1:15" x14ac:dyDescent="0.35">
      <c r="A507" s="2">
        <v>46160</v>
      </c>
      <c r="B507" t="s">
        <v>15</v>
      </c>
      <c r="C507" t="s">
        <v>52</v>
      </c>
      <c r="D507" t="s">
        <v>531</v>
      </c>
      <c r="E507" t="s">
        <v>54</v>
      </c>
      <c r="F507" s="3">
        <v>0.81319444444444444</v>
      </c>
      <c r="G507" s="4">
        <v>0.86736111111111114</v>
      </c>
      <c r="H507" s="5" t="s">
        <v>19</v>
      </c>
      <c r="I507" t="s">
        <v>20</v>
      </c>
      <c r="J507" t="s">
        <v>24</v>
      </c>
      <c r="K507" t="s">
        <v>22</v>
      </c>
      <c r="L507" t="s">
        <v>43</v>
      </c>
      <c r="M507" t="s">
        <v>24</v>
      </c>
      <c r="N507">
        <f>IF(Table1[[#This Row],[Akhir]]&lt;Table1[[#This Row],[Awal]],(Table1[[#This Row],[Akhir]]+1)-Table1[[#This Row],[Awal]],Table1[[#This Row],[Akhir]]-Table1[[#This Row],[Awal]])*24</f>
        <v>1.3000000000000007</v>
      </c>
      <c r="O507" t="str">
        <f>IF(Table1[[#This Row],[Duration Real]]&gt;=6,"Major",
IF(Table1[[#This Row],[Duration Real]]&gt;=2,"Medium","Minor"))</f>
        <v>Minor</v>
      </c>
    </row>
    <row r="508" spans="1:15" x14ac:dyDescent="0.35">
      <c r="A508" s="2">
        <v>46160</v>
      </c>
      <c r="B508" t="s">
        <v>15</v>
      </c>
      <c r="C508" t="s">
        <v>52</v>
      </c>
      <c r="D508" t="s">
        <v>163</v>
      </c>
      <c r="E508" t="s">
        <v>291</v>
      </c>
      <c r="F508" s="3">
        <v>0.54166666666666663</v>
      </c>
      <c r="G508" s="4">
        <v>0.60416666666666663</v>
      </c>
      <c r="H508" s="5" t="s">
        <v>19</v>
      </c>
      <c r="I508" t="s">
        <v>26</v>
      </c>
      <c r="J508" t="s">
        <v>24</v>
      </c>
      <c r="K508" t="s">
        <v>22</v>
      </c>
      <c r="L508" t="s">
        <v>352</v>
      </c>
      <c r="M508" t="s">
        <v>24</v>
      </c>
      <c r="N508">
        <f>IF(Table1[[#This Row],[Akhir]]&lt;Table1[[#This Row],[Awal]],(Table1[[#This Row],[Akhir]]+1)-Table1[[#This Row],[Awal]],Table1[[#This Row],[Akhir]]-Table1[[#This Row],[Awal]])*24</f>
        <v>1.5</v>
      </c>
      <c r="O508" t="str">
        <f>IF(Table1[[#This Row],[Duration Real]]&gt;=6,"Major",
IF(Table1[[#This Row],[Duration Real]]&gt;=2,"Medium","Minor"))</f>
        <v>Minor</v>
      </c>
    </row>
    <row r="509" spans="1:15" x14ac:dyDescent="0.35">
      <c r="A509" s="2">
        <v>46160</v>
      </c>
      <c r="B509" t="s">
        <v>15</v>
      </c>
      <c r="C509" t="s">
        <v>230</v>
      </c>
      <c r="D509" t="s">
        <v>160</v>
      </c>
      <c r="E509" t="s">
        <v>324</v>
      </c>
      <c r="F509" s="3">
        <v>0.78055555555555556</v>
      </c>
      <c r="G509" s="4">
        <v>0.79652777777777772</v>
      </c>
      <c r="H509" s="5" t="s">
        <v>19</v>
      </c>
      <c r="I509" t="s">
        <v>20</v>
      </c>
      <c r="J509" t="s">
        <v>24</v>
      </c>
      <c r="K509" t="s">
        <v>22</v>
      </c>
      <c r="L509" t="s">
        <v>43</v>
      </c>
      <c r="M509" t="s">
        <v>24</v>
      </c>
      <c r="N509">
        <f>IF(Table1[[#This Row],[Akhir]]&lt;Table1[[#This Row],[Awal]],(Table1[[#This Row],[Akhir]]+1)-Table1[[#This Row],[Awal]],Table1[[#This Row],[Akhir]]-Table1[[#This Row],[Awal]])*24</f>
        <v>0.38333333333333197</v>
      </c>
      <c r="O509" t="str">
        <f>IF(Table1[[#This Row],[Duration Real]]&gt;=6,"Major",
IF(Table1[[#This Row],[Duration Real]]&gt;=2,"Medium","Minor"))</f>
        <v>Minor</v>
      </c>
    </row>
    <row r="510" spans="1:15" x14ac:dyDescent="0.35">
      <c r="A510" s="2">
        <v>46160</v>
      </c>
      <c r="B510" t="s">
        <v>15</v>
      </c>
      <c r="C510" t="s">
        <v>64</v>
      </c>
      <c r="D510" t="s">
        <v>587</v>
      </c>
      <c r="E510" t="s">
        <v>77</v>
      </c>
      <c r="F510" s="3">
        <v>0.79861111111111116</v>
      </c>
      <c r="G510" s="4">
        <v>0.84722222222222221</v>
      </c>
      <c r="H510" s="5" t="s">
        <v>19</v>
      </c>
      <c r="I510" t="s">
        <v>20</v>
      </c>
      <c r="J510" t="s">
        <v>24</v>
      </c>
      <c r="K510" t="s">
        <v>22</v>
      </c>
      <c r="L510" t="s">
        <v>31</v>
      </c>
      <c r="M510" t="s">
        <v>24</v>
      </c>
      <c r="N510">
        <f>IF(Table1[[#This Row],[Akhir]]&lt;Table1[[#This Row],[Awal]],(Table1[[#This Row],[Akhir]]+1)-Table1[[#This Row],[Awal]],Table1[[#This Row],[Akhir]]-Table1[[#This Row],[Awal]])*24</f>
        <v>1.1666666666666652</v>
      </c>
      <c r="O510" t="str">
        <f>IF(Table1[[#This Row],[Duration Real]]&gt;=6,"Major",
IF(Table1[[#This Row],[Duration Real]]&gt;=2,"Medium","Minor"))</f>
        <v>Minor</v>
      </c>
    </row>
    <row r="511" spans="1:15" x14ac:dyDescent="0.35">
      <c r="A511" s="2">
        <v>46160</v>
      </c>
      <c r="B511" t="s">
        <v>15</v>
      </c>
      <c r="C511" t="s">
        <v>85</v>
      </c>
      <c r="D511" t="s">
        <v>588</v>
      </c>
      <c r="E511" t="s">
        <v>115</v>
      </c>
      <c r="F511" s="3">
        <v>0.54166666666666663</v>
      </c>
      <c r="G511" s="4">
        <v>0.60347222222222219</v>
      </c>
      <c r="H511" s="5" t="s">
        <v>19</v>
      </c>
      <c r="I511" t="s">
        <v>26</v>
      </c>
      <c r="J511" t="s">
        <v>24</v>
      </c>
      <c r="K511" t="s">
        <v>22</v>
      </c>
      <c r="L511" t="s">
        <v>589</v>
      </c>
      <c r="M511" t="s">
        <v>24</v>
      </c>
      <c r="N511">
        <f>IF(Table1[[#This Row],[Akhir]]&lt;Table1[[#This Row],[Awal]],(Table1[[#This Row],[Akhir]]+1)-Table1[[#This Row],[Awal]],Table1[[#This Row],[Akhir]]-Table1[[#This Row],[Awal]])*24</f>
        <v>1.4833333333333334</v>
      </c>
      <c r="O511" t="str">
        <f>IF(Table1[[#This Row],[Duration Real]]&gt;=6,"Major",
IF(Table1[[#This Row],[Duration Real]]&gt;=2,"Medium","Minor"))</f>
        <v>Minor</v>
      </c>
    </row>
    <row r="512" spans="1:15" x14ac:dyDescent="0.35">
      <c r="A512" s="2">
        <v>46160</v>
      </c>
      <c r="B512" t="s">
        <v>15</v>
      </c>
      <c r="C512" t="s">
        <v>85</v>
      </c>
      <c r="D512" t="s">
        <v>590</v>
      </c>
      <c r="E512" t="s">
        <v>591</v>
      </c>
      <c r="F512" s="3">
        <v>0.29166666666666669</v>
      </c>
      <c r="G512" s="4">
        <v>0.38194444444444442</v>
      </c>
      <c r="H512" s="5" t="s">
        <v>19</v>
      </c>
      <c r="I512" t="s">
        <v>26</v>
      </c>
      <c r="J512" t="s">
        <v>24</v>
      </c>
      <c r="K512" t="s">
        <v>22</v>
      </c>
      <c r="L512" t="s">
        <v>424</v>
      </c>
      <c r="M512" t="s">
        <v>24</v>
      </c>
      <c r="N512">
        <f>IF(Table1[[#This Row],[Akhir]]&lt;Table1[[#This Row],[Awal]],(Table1[[#This Row],[Akhir]]+1)-Table1[[#This Row],[Awal]],Table1[[#This Row],[Akhir]]-Table1[[#This Row],[Awal]])*24</f>
        <v>2.1666666666666656</v>
      </c>
      <c r="O512" t="str">
        <f>IF(Table1[[#This Row],[Duration Real]]&gt;=6,"Major",
IF(Table1[[#This Row],[Duration Real]]&gt;=2,"Medium","Minor"))</f>
        <v>Medium</v>
      </c>
    </row>
    <row r="513" spans="1:15" x14ac:dyDescent="0.35">
      <c r="A513" s="2">
        <v>46160</v>
      </c>
      <c r="B513" t="s">
        <v>15</v>
      </c>
      <c r="C513" t="s">
        <v>88</v>
      </c>
      <c r="D513" t="s">
        <v>592</v>
      </c>
      <c r="E513" t="s">
        <v>593</v>
      </c>
      <c r="F513" s="3">
        <v>0.80277777777777781</v>
      </c>
      <c r="G513" s="4">
        <v>0.15972222222222221</v>
      </c>
      <c r="H513" s="5" t="s">
        <v>19</v>
      </c>
      <c r="I513" t="s">
        <v>20</v>
      </c>
      <c r="J513" t="s">
        <v>24</v>
      </c>
      <c r="K513" t="s">
        <v>39</v>
      </c>
      <c r="L513" t="s">
        <v>594</v>
      </c>
      <c r="M513" t="s">
        <v>24</v>
      </c>
      <c r="N513">
        <f>IF(Table1[[#This Row],[Akhir]]&lt;Table1[[#This Row],[Awal]],(Table1[[#This Row],[Akhir]]+1)-Table1[[#This Row],[Awal]],Table1[[#This Row],[Akhir]]-Table1[[#This Row],[Awal]])*24</f>
        <v>8.5666666666666682</v>
      </c>
      <c r="O513" t="str">
        <f>IF(Table1[[#This Row],[Duration Real]]&gt;=6,"Major",
IF(Table1[[#This Row],[Duration Real]]&gt;=2,"Medium","Minor"))</f>
        <v>Major</v>
      </c>
    </row>
    <row r="514" spans="1:15" x14ac:dyDescent="0.35">
      <c r="A514" s="2">
        <v>46160</v>
      </c>
      <c r="B514" t="s">
        <v>15</v>
      </c>
      <c r="C514" t="s">
        <v>118</v>
      </c>
      <c r="D514" t="s">
        <v>595</v>
      </c>
      <c r="E514" t="s">
        <v>354</v>
      </c>
      <c r="F514" s="3">
        <v>0.43055555555555558</v>
      </c>
      <c r="G514" s="4">
        <v>0.52916666666666667</v>
      </c>
      <c r="H514" s="5" t="s">
        <v>358</v>
      </c>
      <c r="I514" t="s">
        <v>26</v>
      </c>
      <c r="J514" t="s">
        <v>24</v>
      </c>
      <c r="K514" t="s">
        <v>22</v>
      </c>
      <c r="L514" t="s">
        <v>23</v>
      </c>
      <c r="M514" t="s">
        <v>24</v>
      </c>
      <c r="N514">
        <f>IF(Table1[[#This Row],[Akhir]]&lt;Table1[[#This Row],[Awal]],(Table1[[#This Row],[Akhir]]+1)-Table1[[#This Row],[Awal]],Table1[[#This Row],[Akhir]]-Table1[[#This Row],[Awal]])*24</f>
        <v>2.3666666666666663</v>
      </c>
      <c r="O514" t="str">
        <f>IF(Table1[[#This Row],[Duration Real]]&gt;=6,"Major",
IF(Table1[[#This Row],[Duration Real]]&gt;=2,"Medium","Minor"))</f>
        <v>Medium</v>
      </c>
    </row>
    <row r="515" spans="1:15" x14ac:dyDescent="0.35">
      <c r="A515" s="2">
        <v>46160</v>
      </c>
      <c r="B515" t="s">
        <v>94</v>
      </c>
      <c r="C515" t="s">
        <v>99</v>
      </c>
      <c r="D515" t="s">
        <v>596</v>
      </c>
      <c r="E515" t="s">
        <v>38</v>
      </c>
      <c r="F515" s="3">
        <v>0.28472222222222221</v>
      </c>
      <c r="G515" s="4">
        <v>0.3263888888888889</v>
      </c>
      <c r="H515" s="5" t="s">
        <v>19</v>
      </c>
      <c r="I515" t="s">
        <v>26</v>
      </c>
      <c r="J515" t="s">
        <v>24</v>
      </c>
      <c r="K515" t="s">
        <v>22</v>
      </c>
      <c r="L515" t="s">
        <v>266</v>
      </c>
      <c r="M515" t="s">
        <v>24</v>
      </c>
      <c r="N515">
        <f>IF(Table1[[#This Row],[Akhir]]&lt;Table1[[#This Row],[Awal]],(Table1[[#This Row],[Akhir]]+1)-Table1[[#This Row],[Awal]],Table1[[#This Row],[Akhir]]-Table1[[#This Row],[Awal]])*24</f>
        <v>1.0000000000000004</v>
      </c>
      <c r="O515" t="str">
        <f>IF(Table1[[#This Row],[Duration Real]]&gt;=6,"Major",
IF(Table1[[#This Row],[Duration Real]]&gt;=2,"Medium","Minor"))</f>
        <v>Minor</v>
      </c>
    </row>
    <row r="516" spans="1:15" x14ac:dyDescent="0.35">
      <c r="A516" s="2">
        <v>46161</v>
      </c>
      <c r="B516" t="s">
        <v>15</v>
      </c>
      <c r="C516" t="s">
        <v>32</v>
      </c>
      <c r="D516" t="s">
        <v>428</v>
      </c>
      <c r="E516" t="s">
        <v>34</v>
      </c>
      <c r="F516" s="3">
        <v>0.25</v>
      </c>
      <c r="G516" s="4">
        <v>0.75</v>
      </c>
      <c r="H516" s="5" t="s">
        <v>19</v>
      </c>
      <c r="I516" t="s">
        <v>26</v>
      </c>
      <c r="J516" t="s">
        <v>24</v>
      </c>
      <c r="K516" t="s">
        <v>22</v>
      </c>
      <c r="L516" t="s">
        <v>43</v>
      </c>
      <c r="M516" t="s">
        <v>24</v>
      </c>
      <c r="N516">
        <f>IF(Table1[[#This Row],[Akhir]]&lt;Table1[[#This Row],[Awal]],(Table1[[#This Row],[Akhir]]+1)-Table1[[#This Row],[Awal]],Table1[[#This Row],[Akhir]]-Table1[[#This Row],[Awal]])*24</f>
        <v>12</v>
      </c>
      <c r="O516" t="str">
        <f>IF(Table1[[#This Row],[Duration Real]]&gt;=6,"Major",
IF(Table1[[#This Row],[Duration Real]]&gt;=2,"Medium","Minor"))</f>
        <v>Major</v>
      </c>
    </row>
    <row r="517" spans="1:15" x14ac:dyDescent="0.35">
      <c r="A517" s="2">
        <v>46161</v>
      </c>
      <c r="B517" t="s">
        <v>15</v>
      </c>
      <c r="C517" t="s">
        <v>32</v>
      </c>
      <c r="D517" t="s">
        <v>428</v>
      </c>
      <c r="E517" t="s">
        <v>34</v>
      </c>
      <c r="F517" s="3">
        <v>0.75</v>
      </c>
      <c r="G517" s="4">
        <v>0.25</v>
      </c>
      <c r="H517" s="5" t="s">
        <v>19</v>
      </c>
      <c r="I517" t="s">
        <v>20</v>
      </c>
      <c r="J517" t="s">
        <v>24</v>
      </c>
      <c r="K517" t="s">
        <v>22</v>
      </c>
      <c r="L517" t="s">
        <v>43</v>
      </c>
      <c r="M517" t="s">
        <v>24</v>
      </c>
      <c r="N517">
        <f>IF(Table1[[#This Row],[Akhir]]&lt;Table1[[#This Row],[Awal]],(Table1[[#This Row],[Akhir]]+1)-Table1[[#This Row],[Awal]],Table1[[#This Row],[Akhir]]-Table1[[#This Row],[Awal]])*24</f>
        <v>12</v>
      </c>
      <c r="O517" t="str">
        <f>IF(Table1[[#This Row],[Duration Real]]&gt;=6,"Major",
IF(Table1[[#This Row],[Duration Real]]&gt;=2,"Medium","Minor"))</f>
        <v>Major</v>
      </c>
    </row>
    <row r="518" spans="1:15" x14ac:dyDescent="0.35">
      <c r="A518" s="2">
        <v>46161</v>
      </c>
      <c r="B518" t="s">
        <v>15</v>
      </c>
      <c r="C518" t="s">
        <v>41</v>
      </c>
      <c r="D518" t="s">
        <v>435</v>
      </c>
      <c r="E518" t="s">
        <v>34</v>
      </c>
      <c r="F518" s="3">
        <v>0.25</v>
      </c>
      <c r="G518" s="4">
        <v>0.75</v>
      </c>
      <c r="H518" s="5" t="s">
        <v>19</v>
      </c>
      <c r="I518" t="s">
        <v>26</v>
      </c>
      <c r="J518" t="s">
        <v>24</v>
      </c>
      <c r="K518" t="s">
        <v>39</v>
      </c>
      <c r="L518" t="s">
        <v>43</v>
      </c>
      <c r="M518" t="s">
        <v>24</v>
      </c>
      <c r="N518">
        <f>IF(Table1[[#This Row],[Akhir]]&lt;Table1[[#This Row],[Awal]],(Table1[[#This Row],[Akhir]]+1)-Table1[[#This Row],[Awal]],Table1[[#This Row],[Akhir]]-Table1[[#This Row],[Awal]])*24</f>
        <v>12</v>
      </c>
      <c r="O518" t="str">
        <f>IF(Table1[[#This Row],[Duration Real]]&gt;=6,"Major",
IF(Table1[[#This Row],[Duration Real]]&gt;=2,"Medium","Minor"))</f>
        <v>Major</v>
      </c>
    </row>
    <row r="519" spans="1:15" x14ac:dyDescent="0.35">
      <c r="A519" s="2">
        <v>46161</v>
      </c>
      <c r="B519" t="s">
        <v>15</v>
      </c>
      <c r="C519" t="s">
        <v>41</v>
      </c>
      <c r="D519" t="s">
        <v>435</v>
      </c>
      <c r="E519" t="s">
        <v>34</v>
      </c>
      <c r="F519" s="3">
        <v>0.75</v>
      </c>
      <c r="G519" s="4">
        <v>0.25</v>
      </c>
      <c r="H519" s="5" t="s">
        <v>19</v>
      </c>
      <c r="I519" t="s">
        <v>20</v>
      </c>
      <c r="J519" t="s">
        <v>24</v>
      </c>
      <c r="K519" t="s">
        <v>39</v>
      </c>
      <c r="L519" t="s">
        <v>43</v>
      </c>
      <c r="M519" t="s">
        <v>24</v>
      </c>
      <c r="N519">
        <f>IF(Table1[[#This Row],[Akhir]]&lt;Table1[[#This Row],[Awal]],(Table1[[#This Row],[Akhir]]+1)-Table1[[#This Row],[Awal]],Table1[[#This Row],[Akhir]]-Table1[[#This Row],[Awal]])*24</f>
        <v>12</v>
      </c>
      <c r="O519" t="str">
        <f>IF(Table1[[#This Row],[Duration Real]]&gt;=6,"Major",
IF(Table1[[#This Row],[Duration Real]]&gt;=2,"Medium","Minor"))</f>
        <v>Major</v>
      </c>
    </row>
    <row r="520" spans="1:15" x14ac:dyDescent="0.35">
      <c r="A520" s="2">
        <v>46161</v>
      </c>
      <c r="B520" t="s">
        <v>15</v>
      </c>
      <c r="C520" t="s">
        <v>131</v>
      </c>
      <c r="D520" t="s">
        <v>313</v>
      </c>
      <c r="E520" t="s">
        <v>597</v>
      </c>
      <c r="F520" s="3">
        <v>0.32083333333333336</v>
      </c>
      <c r="G520" s="4">
        <v>0.58333333333333337</v>
      </c>
      <c r="H520" s="5" t="s">
        <v>19</v>
      </c>
      <c r="I520" t="s">
        <v>26</v>
      </c>
      <c r="J520" t="s">
        <v>24</v>
      </c>
      <c r="K520" t="s">
        <v>107</v>
      </c>
      <c r="L520" t="s">
        <v>51</v>
      </c>
      <c r="M520" t="s">
        <v>24</v>
      </c>
      <c r="N520">
        <f>IF(Table1[[#This Row],[Akhir]]&lt;Table1[[#This Row],[Awal]],(Table1[[#This Row],[Akhir]]+1)-Table1[[#This Row],[Awal]],Table1[[#This Row],[Akhir]]-Table1[[#This Row],[Awal]])*24</f>
        <v>6.3000000000000007</v>
      </c>
      <c r="O520" t="str">
        <f>IF(Table1[[#This Row],[Duration Real]]&gt;=6,"Major",
IF(Table1[[#This Row],[Duration Real]]&gt;=2,"Medium","Minor"))</f>
        <v>Major</v>
      </c>
    </row>
    <row r="521" spans="1:15" x14ac:dyDescent="0.35">
      <c r="A521" s="2">
        <v>46161</v>
      </c>
      <c r="B521" t="s">
        <v>15</v>
      </c>
      <c r="C521" t="s">
        <v>131</v>
      </c>
      <c r="D521" t="s">
        <v>598</v>
      </c>
      <c r="E521" t="s">
        <v>599</v>
      </c>
      <c r="F521" s="3">
        <v>0.7895833333333333</v>
      </c>
      <c r="G521" s="4">
        <v>0.9291666666666667</v>
      </c>
      <c r="H521" s="5" t="s">
        <v>19</v>
      </c>
      <c r="I521" t="s">
        <v>20</v>
      </c>
      <c r="J521" t="s">
        <v>24</v>
      </c>
      <c r="K521" t="s">
        <v>51</v>
      </c>
      <c r="L521" t="s">
        <v>51</v>
      </c>
      <c r="M521" t="s">
        <v>24</v>
      </c>
      <c r="N521">
        <f>IF(Table1[[#This Row],[Akhir]]&lt;Table1[[#This Row],[Awal]],(Table1[[#This Row],[Akhir]]+1)-Table1[[#This Row],[Awal]],Table1[[#This Row],[Akhir]]-Table1[[#This Row],[Awal]])*24</f>
        <v>3.3500000000000014</v>
      </c>
      <c r="O521" t="str">
        <f>IF(Table1[[#This Row],[Duration Real]]&gt;=6,"Major",
IF(Table1[[#This Row],[Duration Real]]&gt;=2,"Medium","Minor"))</f>
        <v>Medium</v>
      </c>
    </row>
    <row r="522" spans="1:15" x14ac:dyDescent="0.35">
      <c r="A522" s="2">
        <v>46161</v>
      </c>
      <c r="B522" t="s">
        <v>15</v>
      </c>
      <c r="C522" t="s">
        <v>44</v>
      </c>
      <c r="D522" t="s">
        <v>45</v>
      </c>
      <c r="E522" t="s">
        <v>34</v>
      </c>
      <c r="F522" s="3">
        <v>0.25</v>
      </c>
      <c r="G522" s="4">
        <v>0.75</v>
      </c>
      <c r="H522" s="5" t="s">
        <v>19</v>
      </c>
      <c r="I522" t="s">
        <v>26</v>
      </c>
      <c r="J522" t="s">
        <v>24</v>
      </c>
      <c r="K522" t="s">
        <v>46</v>
      </c>
      <c r="L522" t="s">
        <v>47</v>
      </c>
      <c r="M522" t="s">
        <v>24</v>
      </c>
      <c r="N522">
        <f>IF(Table1[[#This Row],[Akhir]]&lt;Table1[[#This Row],[Awal]],(Table1[[#This Row],[Akhir]]+1)-Table1[[#This Row],[Awal]],Table1[[#This Row],[Akhir]]-Table1[[#This Row],[Awal]])*24</f>
        <v>12</v>
      </c>
      <c r="O522" t="str">
        <f>IF(Table1[[#This Row],[Duration Real]]&gt;=6,"Major",
IF(Table1[[#This Row],[Duration Real]]&gt;=2,"Medium","Minor"))</f>
        <v>Major</v>
      </c>
    </row>
    <row r="523" spans="1:15" x14ac:dyDescent="0.35">
      <c r="A523" s="2">
        <v>46161</v>
      </c>
      <c r="B523" t="s">
        <v>15</v>
      </c>
      <c r="C523" t="s">
        <v>44</v>
      </c>
      <c r="D523" t="s">
        <v>45</v>
      </c>
      <c r="E523" t="s">
        <v>34</v>
      </c>
      <c r="F523" s="3">
        <v>0.75</v>
      </c>
      <c r="G523" s="4">
        <v>0.25</v>
      </c>
      <c r="H523" s="5" t="s">
        <v>19</v>
      </c>
      <c r="I523" t="s">
        <v>20</v>
      </c>
      <c r="J523" t="s">
        <v>24</v>
      </c>
      <c r="K523" t="s">
        <v>46</v>
      </c>
      <c r="L523" t="s">
        <v>47</v>
      </c>
      <c r="M523" t="s">
        <v>24</v>
      </c>
      <c r="N523">
        <f>IF(Table1[[#This Row],[Akhir]]&lt;Table1[[#This Row],[Awal]],(Table1[[#This Row],[Akhir]]+1)-Table1[[#This Row],[Awal]],Table1[[#This Row],[Akhir]]-Table1[[#This Row],[Awal]])*24</f>
        <v>12</v>
      </c>
      <c r="O523" t="str">
        <f>IF(Table1[[#This Row],[Duration Real]]&gt;=6,"Major",
IF(Table1[[#This Row],[Duration Real]]&gt;=2,"Medium","Minor"))</f>
        <v>Major</v>
      </c>
    </row>
    <row r="524" spans="1:15" x14ac:dyDescent="0.35">
      <c r="A524" s="2">
        <v>46161</v>
      </c>
      <c r="B524" t="s">
        <v>15</v>
      </c>
      <c r="C524" t="s">
        <v>48</v>
      </c>
      <c r="D524" t="s">
        <v>49</v>
      </c>
      <c r="E524" t="s">
        <v>268</v>
      </c>
      <c r="F524" s="3">
        <v>0.54861111111111116</v>
      </c>
      <c r="G524" s="4">
        <v>0.56527777777777777</v>
      </c>
      <c r="H524" s="5" t="s">
        <v>19</v>
      </c>
      <c r="I524" t="s">
        <v>26</v>
      </c>
      <c r="J524" t="s">
        <v>24</v>
      </c>
      <c r="K524" t="s">
        <v>107</v>
      </c>
      <c r="L524" t="s">
        <v>51</v>
      </c>
      <c r="M524" t="s">
        <v>24</v>
      </c>
      <c r="N524">
        <f>IF(Table1[[#This Row],[Akhir]]&lt;Table1[[#This Row],[Awal]],(Table1[[#This Row],[Akhir]]+1)-Table1[[#This Row],[Awal]],Table1[[#This Row],[Akhir]]-Table1[[#This Row],[Awal]])*24</f>
        <v>0.39999999999999858</v>
      </c>
      <c r="O524" t="str">
        <f>IF(Table1[[#This Row],[Duration Real]]&gt;=6,"Major",
IF(Table1[[#This Row],[Duration Real]]&gt;=2,"Medium","Minor"))</f>
        <v>Minor</v>
      </c>
    </row>
    <row r="525" spans="1:15" x14ac:dyDescent="0.35">
      <c r="A525" s="2">
        <v>46161</v>
      </c>
      <c r="B525" t="s">
        <v>15</v>
      </c>
      <c r="C525" t="s">
        <v>52</v>
      </c>
      <c r="D525" t="s">
        <v>163</v>
      </c>
      <c r="E525" t="s">
        <v>600</v>
      </c>
      <c r="F525" s="3">
        <v>0.35902777777777778</v>
      </c>
      <c r="G525" s="4">
        <v>0.62986111111111109</v>
      </c>
      <c r="H525" s="5" t="s">
        <v>19</v>
      </c>
      <c r="I525" t="s">
        <v>26</v>
      </c>
      <c r="J525" t="s">
        <v>24</v>
      </c>
      <c r="K525" t="s">
        <v>22</v>
      </c>
      <c r="L525" t="s">
        <v>575</v>
      </c>
      <c r="M525" t="s">
        <v>24</v>
      </c>
      <c r="N525">
        <f>IF(Table1[[#This Row],[Akhir]]&lt;Table1[[#This Row],[Awal]],(Table1[[#This Row],[Akhir]]+1)-Table1[[#This Row],[Awal]],Table1[[#This Row],[Akhir]]-Table1[[#This Row],[Awal]])*24</f>
        <v>6.5</v>
      </c>
      <c r="O525" t="str">
        <f>IF(Table1[[#This Row],[Duration Real]]&gt;=6,"Major",
IF(Table1[[#This Row],[Duration Real]]&gt;=2,"Medium","Minor"))</f>
        <v>Major</v>
      </c>
    </row>
    <row r="526" spans="1:15" x14ac:dyDescent="0.35">
      <c r="A526" s="2">
        <v>46161</v>
      </c>
      <c r="B526" t="s">
        <v>15</v>
      </c>
      <c r="C526" t="s">
        <v>76</v>
      </c>
      <c r="D526" t="s">
        <v>49</v>
      </c>
      <c r="E526" t="s">
        <v>281</v>
      </c>
      <c r="F526" s="3">
        <v>0.78263888888888888</v>
      </c>
      <c r="G526" s="4">
        <v>0.84583333333333333</v>
      </c>
      <c r="H526" s="5" t="s">
        <v>19</v>
      </c>
      <c r="I526" t="s">
        <v>20</v>
      </c>
      <c r="J526" t="s">
        <v>24</v>
      </c>
      <c r="K526" t="s">
        <v>22</v>
      </c>
      <c r="L526" t="s">
        <v>366</v>
      </c>
      <c r="M526" t="s">
        <v>24</v>
      </c>
      <c r="N526">
        <f>IF(Table1[[#This Row],[Akhir]]&lt;Table1[[#This Row],[Awal]],(Table1[[#This Row],[Akhir]]+1)-Table1[[#This Row],[Awal]],Table1[[#This Row],[Akhir]]-Table1[[#This Row],[Awal]])*24</f>
        <v>1.5166666666666666</v>
      </c>
      <c r="O526" t="str">
        <f>IF(Table1[[#This Row],[Duration Real]]&gt;=6,"Major",
IF(Table1[[#This Row],[Duration Real]]&gt;=2,"Medium","Minor"))</f>
        <v>Minor</v>
      </c>
    </row>
    <row r="527" spans="1:15" x14ac:dyDescent="0.35">
      <c r="A527" s="2">
        <v>46161</v>
      </c>
      <c r="B527" t="s">
        <v>15</v>
      </c>
      <c r="C527" t="s">
        <v>85</v>
      </c>
      <c r="D527" t="s">
        <v>508</v>
      </c>
      <c r="E527" t="s">
        <v>347</v>
      </c>
      <c r="F527" s="3">
        <v>0.75</v>
      </c>
      <c r="G527" s="4">
        <v>0.9291666666666667</v>
      </c>
      <c r="H527" s="5" t="s">
        <v>19</v>
      </c>
      <c r="I527" t="s">
        <v>20</v>
      </c>
      <c r="J527" t="s">
        <v>24</v>
      </c>
      <c r="K527" t="s">
        <v>22</v>
      </c>
      <c r="L527" t="s">
        <v>465</v>
      </c>
      <c r="M527" t="s">
        <v>24</v>
      </c>
      <c r="N527">
        <f>IF(Table1[[#This Row],[Akhir]]&lt;Table1[[#This Row],[Awal]],(Table1[[#This Row],[Akhir]]+1)-Table1[[#This Row],[Awal]],Table1[[#This Row],[Akhir]]-Table1[[#This Row],[Awal]])*24</f>
        <v>4.3000000000000007</v>
      </c>
      <c r="O527" t="str">
        <f>IF(Table1[[#This Row],[Duration Real]]&gt;=6,"Major",
IF(Table1[[#This Row],[Duration Real]]&gt;=2,"Medium","Minor"))</f>
        <v>Medium</v>
      </c>
    </row>
    <row r="528" spans="1:15" x14ac:dyDescent="0.35">
      <c r="A528" s="2">
        <v>46161</v>
      </c>
      <c r="B528" t="s">
        <v>15</v>
      </c>
      <c r="C528" t="s">
        <v>85</v>
      </c>
      <c r="D528" t="s">
        <v>155</v>
      </c>
      <c r="E528" t="s">
        <v>601</v>
      </c>
      <c r="F528" s="3">
        <v>0.2986111111111111</v>
      </c>
      <c r="G528" s="4">
        <v>0.42083333333333334</v>
      </c>
      <c r="H528" s="5" t="s">
        <v>19</v>
      </c>
      <c r="I528" t="s">
        <v>26</v>
      </c>
      <c r="J528" t="s">
        <v>24</v>
      </c>
      <c r="K528" t="s">
        <v>22</v>
      </c>
      <c r="L528" t="s">
        <v>550</v>
      </c>
      <c r="M528" t="s">
        <v>24</v>
      </c>
      <c r="N528">
        <f>IF(Table1[[#This Row],[Akhir]]&lt;Table1[[#This Row],[Awal]],(Table1[[#This Row],[Akhir]]+1)-Table1[[#This Row],[Awal]],Table1[[#This Row],[Akhir]]-Table1[[#This Row],[Awal]])*24</f>
        <v>2.9333333333333336</v>
      </c>
      <c r="O528" t="str">
        <f>IF(Table1[[#This Row],[Duration Real]]&gt;=6,"Major",
IF(Table1[[#This Row],[Duration Real]]&gt;=2,"Medium","Minor"))</f>
        <v>Medium</v>
      </c>
    </row>
    <row r="529" spans="1:15" x14ac:dyDescent="0.35">
      <c r="A529" s="2">
        <v>46161</v>
      </c>
      <c r="B529" t="s">
        <v>15</v>
      </c>
      <c r="C529" t="s">
        <v>88</v>
      </c>
      <c r="D529" t="s">
        <v>602</v>
      </c>
      <c r="E529" t="s">
        <v>475</v>
      </c>
      <c r="F529" s="3">
        <v>0.81736111111111109</v>
      </c>
      <c r="G529" s="4">
        <v>0.2048611111111111</v>
      </c>
      <c r="H529" s="5" t="s">
        <v>19</v>
      </c>
      <c r="I529" t="s">
        <v>20</v>
      </c>
      <c r="J529" t="s">
        <v>24</v>
      </c>
      <c r="K529" t="s">
        <v>39</v>
      </c>
      <c r="L529" t="s">
        <v>366</v>
      </c>
      <c r="M529" t="s">
        <v>24</v>
      </c>
      <c r="N529">
        <f>IF(Table1[[#This Row],[Akhir]]&lt;Table1[[#This Row],[Awal]],(Table1[[#This Row],[Akhir]]+1)-Table1[[#This Row],[Awal]],Table1[[#This Row],[Akhir]]-Table1[[#This Row],[Awal]])*24</f>
        <v>9.3000000000000007</v>
      </c>
      <c r="O529" t="str">
        <f>IF(Table1[[#This Row],[Duration Real]]&gt;=6,"Major",
IF(Table1[[#This Row],[Duration Real]]&gt;=2,"Medium","Minor"))</f>
        <v>Major</v>
      </c>
    </row>
    <row r="530" spans="1:15" x14ac:dyDescent="0.35">
      <c r="A530" s="2">
        <v>46161</v>
      </c>
      <c r="B530" t="s">
        <v>15</v>
      </c>
      <c r="C530" t="s">
        <v>88</v>
      </c>
      <c r="D530" t="s">
        <v>163</v>
      </c>
      <c r="E530" t="s">
        <v>603</v>
      </c>
      <c r="F530" s="3">
        <v>0.41944444444444445</v>
      </c>
      <c r="G530" s="4">
        <v>0.51666666666666672</v>
      </c>
      <c r="H530" s="5" t="s">
        <v>19</v>
      </c>
      <c r="I530" t="s">
        <v>26</v>
      </c>
      <c r="J530" t="s">
        <v>24</v>
      </c>
      <c r="K530" t="s">
        <v>22</v>
      </c>
      <c r="L530" t="s">
        <v>604</v>
      </c>
      <c r="M530" t="s">
        <v>24</v>
      </c>
      <c r="N530">
        <f>IF(Table1[[#This Row],[Akhir]]&lt;Table1[[#This Row],[Awal]],(Table1[[#This Row],[Akhir]]+1)-Table1[[#This Row],[Awal]],Table1[[#This Row],[Akhir]]-Table1[[#This Row],[Awal]])*24</f>
        <v>2.3333333333333344</v>
      </c>
      <c r="O530" t="str">
        <f>IF(Table1[[#This Row],[Duration Real]]&gt;=6,"Major",
IF(Table1[[#This Row],[Duration Real]]&gt;=2,"Medium","Minor"))</f>
        <v>Medium</v>
      </c>
    </row>
    <row r="531" spans="1:15" x14ac:dyDescent="0.35">
      <c r="A531" s="2">
        <v>46161</v>
      </c>
      <c r="B531" t="s">
        <v>94</v>
      </c>
      <c r="C531" t="s">
        <v>95</v>
      </c>
      <c r="D531" t="s">
        <v>605</v>
      </c>
      <c r="E531" t="s">
        <v>601</v>
      </c>
      <c r="F531" s="3">
        <v>0.75</v>
      </c>
      <c r="G531" s="4">
        <v>0.87222222222222223</v>
      </c>
      <c r="H531" s="5" t="s">
        <v>19</v>
      </c>
      <c r="I531" t="s">
        <v>20</v>
      </c>
      <c r="J531" t="s">
        <v>24</v>
      </c>
      <c r="K531" t="s">
        <v>22</v>
      </c>
      <c r="L531" t="s">
        <v>43</v>
      </c>
      <c r="M531" t="s">
        <v>24</v>
      </c>
      <c r="N531">
        <f>IF(Table1[[#This Row],[Akhir]]&lt;Table1[[#This Row],[Awal]],(Table1[[#This Row],[Akhir]]+1)-Table1[[#This Row],[Awal]],Table1[[#This Row],[Akhir]]-Table1[[#This Row],[Awal]])*24</f>
        <v>2.9333333333333336</v>
      </c>
      <c r="O531" t="str">
        <f>IF(Table1[[#This Row],[Duration Real]]&gt;=6,"Major",
IF(Table1[[#This Row],[Duration Real]]&gt;=2,"Medium","Minor"))</f>
        <v>Medium</v>
      </c>
    </row>
    <row r="532" spans="1:15" x14ac:dyDescent="0.35">
      <c r="A532" s="2">
        <v>46161</v>
      </c>
      <c r="B532" t="s">
        <v>94</v>
      </c>
      <c r="C532" t="s">
        <v>99</v>
      </c>
      <c r="D532" t="s">
        <v>606</v>
      </c>
      <c r="E532" t="s">
        <v>282</v>
      </c>
      <c r="F532" s="3">
        <v>0.31527777777777777</v>
      </c>
      <c r="G532" s="4">
        <v>0.3576388888888889</v>
      </c>
      <c r="H532" s="5" t="s">
        <v>19</v>
      </c>
      <c r="I532" t="s">
        <v>26</v>
      </c>
      <c r="J532" t="s">
        <v>607</v>
      </c>
      <c r="K532" t="s">
        <v>22</v>
      </c>
      <c r="L532" t="s">
        <v>604</v>
      </c>
      <c r="M532" t="s">
        <v>24</v>
      </c>
      <c r="N532">
        <f>IF(Table1[[#This Row],[Akhir]]&lt;Table1[[#This Row],[Awal]],(Table1[[#This Row],[Akhir]]+1)-Table1[[#This Row],[Awal]],Table1[[#This Row],[Akhir]]-Table1[[#This Row],[Awal]])*24</f>
        <v>1.0166666666666671</v>
      </c>
      <c r="O532" t="str">
        <f>IF(Table1[[#This Row],[Duration Real]]&gt;=6,"Major",
IF(Table1[[#This Row],[Duration Real]]&gt;=2,"Medium","Minor"))</f>
        <v>Minor</v>
      </c>
    </row>
    <row r="533" spans="1:15" x14ac:dyDescent="0.35">
      <c r="A533" s="2">
        <v>46161</v>
      </c>
      <c r="B533" t="s">
        <v>94</v>
      </c>
      <c r="C533" t="s">
        <v>204</v>
      </c>
      <c r="D533" t="s">
        <v>208</v>
      </c>
      <c r="E533" t="s">
        <v>608</v>
      </c>
      <c r="F533" s="3">
        <v>0.42430555555555555</v>
      </c>
      <c r="G533" s="4">
        <v>0.64930555555555558</v>
      </c>
      <c r="H533" s="5" t="s">
        <v>19</v>
      </c>
      <c r="I533" t="s">
        <v>26</v>
      </c>
      <c r="J533" t="s">
        <v>609</v>
      </c>
      <c r="K533" t="s">
        <v>22</v>
      </c>
      <c r="L533" t="s">
        <v>143</v>
      </c>
      <c r="M533" t="s">
        <v>24</v>
      </c>
      <c r="N533">
        <f>IF(Table1[[#This Row],[Akhir]]&lt;Table1[[#This Row],[Awal]],(Table1[[#This Row],[Akhir]]+1)-Table1[[#This Row],[Awal]],Table1[[#This Row],[Akhir]]-Table1[[#This Row],[Awal]])*24</f>
        <v>5.4</v>
      </c>
      <c r="O533" t="str">
        <f>IF(Table1[[#This Row],[Duration Real]]&gt;=6,"Major",
IF(Table1[[#This Row],[Duration Real]]&gt;=2,"Medium","Minor"))</f>
        <v>Medium</v>
      </c>
    </row>
    <row r="534" spans="1:15" x14ac:dyDescent="0.35">
      <c r="A534" s="2">
        <v>46162</v>
      </c>
      <c r="B534" t="s">
        <v>15</v>
      </c>
      <c r="C534" t="s">
        <v>28</v>
      </c>
      <c r="D534" t="s">
        <v>190</v>
      </c>
      <c r="E534" t="s">
        <v>450</v>
      </c>
      <c r="F534" s="3">
        <v>0.65138888888888891</v>
      </c>
      <c r="G534" s="4">
        <v>0.67500000000000004</v>
      </c>
      <c r="H534" s="5" t="s">
        <v>19</v>
      </c>
      <c r="I534" t="s">
        <v>26</v>
      </c>
      <c r="J534" t="s">
        <v>24</v>
      </c>
      <c r="K534" t="s">
        <v>22</v>
      </c>
      <c r="L534" t="s">
        <v>610</v>
      </c>
      <c r="M534" t="s">
        <v>24</v>
      </c>
      <c r="N534">
        <f>IF(Table1[[#This Row],[Akhir]]&lt;Table1[[#This Row],[Awal]],(Table1[[#This Row],[Akhir]]+1)-Table1[[#This Row],[Awal]],Table1[[#This Row],[Akhir]]-Table1[[#This Row],[Awal]])*24</f>
        <v>0.56666666666666732</v>
      </c>
      <c r="O534" t="str">
        <f>IF(Table1[[#This Row],[Duration Real]]&gt;=6,"Major",
IF(Table1[[#This Row],[Duration Real]]&gt;=2,"Medium","Minor"))</f>
        <v>Minor</v>
      </c>
    </row>
    <row r="535" spans="1:15" x14ac:dyDescent="0.35">
      <c r="A535" s="2">
        <v>46162</v>
      </c>
      <c r="B535" t="s">
        <v>15</v>
      </c>
      <c r="C535" t="s">
        <v>32</v>
      </c>
      <c r="D535" t="s">
        <v>428</v>
      </c>
      <c r="E535" t="s">
        <v>34</v>
      </c>
      <c r="F535" s="3">
        <v>0.25</v>
      </c>
      <c r="G535" s="4">
        <v>0.75</v>
      </c>
      <c r="H535" s="5" t="s">
        <v>19</v>
      </c>
      <c r="I535" t="s">
        <v>26</v>
      </c>
      <c r="J535" t="s">
        <v>24</v>
      </c>
      <c r="K535" t="s">
        <v>22</v>
      </c>
      <c r="L535" t="s">
        <v>43</v>
      </c>
      <c r="M535" t="s">
        <v>24</v>
      </c>
      <c r="N535">
        <f>IF(Table1[[#This Row],[Akhir]]&lt;Table1[[#This Row],[Awal]],(Table1[[#This Row],[Akhir]]+1)-Table1[[#This Row],[Awal]],Table1[[#This Row],[Akhir]]-Table1[[#This Row],[Awal]])*24</f>
        <v>12</v>
      </c>
      <c r="O535" t="str">
        <f>IF(Table1[[#This Row],[Duration Real]]&gt;=6,"Major",
IF(Table1[[#This Row],[Duration Real]]&gt;=2,"Medium","Minor"))</f>
        <v>Major</v>
      </c>
    </row>
    <row r="536" spans="1:15" x14ac:dyDescent="0.35">
      <c r="A536" s="2">
        <v>46162</v>
      </c>
      <c r="B536" t="s">
        <v>15</v>
      </c>
      <c r="C536" t="s">
        <v>41</v>
      </c>
      <c r="D536" t="s">
        <v>435</v>
      </c>
      <c r="E536" t="s">
        <v>34</v>
      </c>
      <c r="F536" s="3">
        <v>0.25</v>
      </c>
      <c r="G536" s="4">
        <v>0.75</v>
      </c>
      <c r="H536" s="5" t="s">
        <v>19</v>
      </c>
      <c r="I536" t="s">
        <v>26</v>
      </c>
      <c r="J536" t="s">
        <v>24</v>
      </c>
      <c r="K536" t="s">
        <v>39</v>
      </c>
      <c r="L536" t="s">
        <v>43</v>
      </c>
      <c r="M536" t="s">
        <v>24</v>
      </c>
      <c r="N536">
        <f>IF(Table1[[#This Row],[Akhir]]&lt;Table1[[#This Row],[Awal]],(Table1[[#This Row],[Akhir]]+1)-Table1[[#This Row],[Awal]],Table1[[#This Row],[Akhir]]-Table1[[#This Row],[Awal]])*24</f>
        <v>12</v>
      </c>
      <c r="O536" t="str">
        <f>IF(Table1[[#This Row],[Duration Real]]&gt;=6,"Major",
IF(Table1[[#This Row],[Duration Real]]&gt;=2,"Medium","Minor"))</f>
        <v>Major</v>
      </c>
    </row>
    <row r="537" spans="1:15" x14ac:dyDescent="0.35">
      <c r="A537" s="2">
        <v>46162</v>
      </c>
      <c r="B537" t="s">
        <v>15</v>
      </c>
      <c r="C537" t="s">
        <v>44</v>
      </c>
      <c r="D537" t="s">
        <v>45</v>
      </c>
      <c r="E537" t="s">
        <v>34</v>
      </c>
      <c r="F537" s="3">
        <v>0.25</v>
      </c>
      <c r="G537" s="4">
        <v>0.75</v>
      </c>
      <c r="H537" s="5" t="s">
        <v>19</v>
      </c>
      <c r="I537" t="s">
        <v>26</v>
      </c>
      <c r="J537" t="s">
        <v>24</v>
      </c>
      <c r="K537" t="s">
        <v>46</v>
      </c>
      <c r="L537" t="s">
        <v>47</v>
      </c>
      <c r="M537" t="s">
        <v>24</v>
      </c>
      <c r="N537">
        <f>IF(Table1[[#This Row],[Akhir]]&lt;Table1[[#This Row],[Awal]],(Table1[[#This Row],[Akhir]]+1)-Table1[[#This Row],[Awal]],Table1[[#This Row],[Akhir]]-Table1[[#This Row],[Awal]])*24</f>
        <v>12</v>
      </c>
      <c r="O537" t="str">
        <f>IF(Table1[[#This Row],[Duration Real]]&gt;=6,"Major",
IF(Table1[[#This Row],[Duration Real]]&gt;=2,"Medium","Minor"))</f>
        <v>Major</v>
      </c>
    </row>
    <row r="538" spans="1:15" x14ac:dyDescent="0.35">
      <c r="A538" s="2">
        <v>46162</v>
      </c>
      <c r="B538" t="s">
        <v>15</v>
      </c>
      <c r="C538" t="s">
        <v>48</v>
      </c>
      <c r="D538" t="s">
        <v>49</v>
      </c>
      <c r="E538" t="s">
        <v>177</v>
      </c>
      <c r="F538" s="3">
        <v>0.25</v>
      </c>
      <c r="G538" s="4">
        <v>0.31111111111111112</v>
      </c>
      <c r="H538" s="5" t="s">
        <v>19</v>
      </c>
      <c r="I538" t="s">
        <v>26</v>
      </c>
      <c r="J538" t="s">
        <v>24</v>
      </c>
      <c r="K538" t="s">
        <v>107</v>
      </c>
      <c r="L538" t="s">
        <v>51</v>
      </c>
      <c r="M538" t="s">
        <v>24</v>
      </c>
      <c r="N538">
        <f>IF(Table1[[#This Row],[Akhir]]&lt;Table1[[#This Row],[Awal]],(Table1[[#This Row],[Akhir]]+1)-Table1[[#This Row],[Awal]],Table1[[#This Row],[Akhir]]-Table1[[#This Row],[Awal]])*24</f>
        <v>1.4666666666666668</v>
      </c>
      <c r="O538" t="str">
        <f>IF(Table1[[#This Row],[Duration Real]]&gt;=6,"Major",
IF(Table1[[#This Row],[Duration Real]]&gt;=2,"Medium","Minor"))</f>
        <v>Minor</v>
      </c>
    </row>
    <row r="539" spans="1:15" x14ac:dyDescent="0.35">
      <c r="A539" s="2">
        <v>46162</v>
      </c>
      <c r="B539" t="s">
        <v>15</v>
      </c>
      <c r="C539" t="s">
        <v>52</v>
      </c>
      <c r="D539" t="s">
        <v>611</v>
      </c>
      <c r="E539" t="s">
        <v>612</v>
      </c>
      <c r="F539" s="3">
        <v>0.62569444444444444</v>
      </c>
      <c r="G539" s="4">
        <v>0.63958333333333328</v>
      </c>
      <c r="H539" s="5" t="s">
        <v>19</v>
      </c>
      <c r="I539" t="s">
        <v>26</v>
      </c>
      <c r="J539" t="s">
        <v>24</v>
      </c>
      <c r="K539" t="s">
        <v>22</v>
      </c>
      <c r="L539" t="s">
        <v>328</v>
      </c>
      <c r="M539" t="s">
        <v>24</v>
      </c>
      <c r="N539">
        <f>IF(Table1[[#This Row],[Akhir]]&lt;Table1[[#This Row],[Awal]],(Table1[[#This Row],[Akhir]]+1)-Table1[[#This Row],[Awal]],Table1[[#This Row],[Akhir]]-Table1[[#This Row],[Awal]])*24</f>
        <v>0.33333333333333215</v>
      </c>
      <c r="O539" t="str">
        <f>IF(Table1[[#This Row],[Duration Real]]&gt;=6,"Major",
IF(Table1[[#This Row],[Duration Real]]&gt;=2,"Medium","Minor"))</f>
        <v>Minor</v>
      </c>
    </row>
    <row r="540" spans="1:15" x14ac:dyDescent="0.35">
      <c r="A540" s="2">
        <v>46162</v>
      </c>
      <c r="B540" t="s">
        <v>15</v>
      </c>
      <c r="C540" t="s">
        <v>230</v>
      </c>
      <c r="D540" t="s">
        <v>613</v>
      </c>
      <c r="E540" t="s">
        <v>614</v>
      </c>
      <c r="F540" s="3">
        <v>0.54166666666666663</v>
      </c>
      <c r="G540" s="4">
        <v>0.69027777777777777</v>
      </c>
      <c r="H540" s="5" t="s">
        <v>19</v>
      </c>
      <c r="I540" t="s">
        <v>26</v>
      </c>
      <c r="J540" t="s">
        <v>24</v>
      </c>
      <c r="K540" t="s">
        <v>22</v>
      </c>
      <c r="L540" t="s">
        <v>43</v>
      </c>
      <c r="M540" t="s">
        <v>24</v>
      </c>
      <c r="N540">
        <f>IF(Table1[[#This Row],[Akhir]]&lt;Table1[[#This Row],[Awal]],(Table1[[#This Row],[Akhir]]+1)-Table1[[#This Row],[Awal]],Table1[[#This Row],[Akhir]]-Table1[[#This Row],[Awal]])*24</f>
        <v>3.5666666666666673</v>
      </c>
      <c r="O540" t="str">
        <f>IF(Table1[[#This Row],[Duration Real]]&gt;=6,"Major",
IF(Table1[[#This Row],[Duration Real]]&gt;=2,"Medium","Minor"))</f>
        <v>Medium</v>
      </c>
    </row>
    <row r="541" spans="1:15" x14ac:dyDescent="0.35">
      <c r="A541" s="2">
        <v>46162</v>
      </c>
      <c r="B541" t="s">
        <v>15</v>
      </c>
      <c r="C541" t="s">
        <v>230</v>
      </c>
      <c r="D541" t="s">
        <v>233</v>
      </c>
      <c r="E541" t="s">
        <v>444</v>
      </c>
      <c r="F541" s="3">
        <v>0.25</v>
      </c>
      <c r="G541" s="4">
        <v>0.31736111111111109</v>
      </c>
      <c r="H541" s="5" t="s">
        <v>19</v>
      </c>
      <c r="I541" t="s">
        <v>26</v>
      </c>
      <c r="J541" t="s">
        <v>24</v>
      </c>
      <c r="K541" t="s">
        <v>22</v>
      </c>
      <c r="L541" t="s">
        <v>584</v>
      </c>
      <c r="M541" t="s">
        <v>24</v>
      </c>
      <c r="N541">
        <f>IF(Table1[[#This Row],[Akhir]]&lt;Table1[[#This Row],[Awal]],(Table1[[#This Row],[Akhir]]+1)-Table1[[#This Row],[Awal]],Table1[[#This Row],[Akhir]]-Table1[[#This Row],[Awal]])*24</f>
        <v>1.6166666666666663</v>
      </c>
      <c r="O541" t="str">
        <f>IF(Table1[[#This Row],[Duration Real]]&gt;=6,"Major",
IF(Table1[[#This Row],[Duration Real]]&gt;=2,"Medium","Minor"))</f>
        <v>Minor</v>
      </c>
    </row>
    <row r="542" spans="1:15" x14ac:dyDescent="0.35">
      <c r="A542" s="2">
        <v>46162</v>
      </c>
      <c r="B542" t="s">
        <v>15</v>
      </c>
      <c r="C542" t="s">
        <v>230</v>
      </c>
      <c r="D542" t="s">
        <v>615</v>
      </c>
      <c r="E542" t="s">
        <v>38</v>
      </c>
      <c r="F542" s="3">
        <v>0.38194444444444442</v>
      </c>
      <c r="G542" s="4">
        <v>0.4236111111111111</v>
      </c>
      <c r="H542" s="5" t="s">
        <v>19</v>
      </c>
      <c r="I542" t="s">
        <v>26</v>
      </c>
      <c r="J542" t="s">
        <v>24</v>
      </c>
      <c r="K542" t="s">
        <v>22</v>
      </c>
      <c r="L542" t="s">
        <v>43</v>
      </c>
      <c r="M542" t="s">
        <v>24</v>
      </c>
      <c r="N542">
        <f>IF(Table1[[#This Row],[Akhir]]&lt;Table1[[#This Row],[Awal]],(Table1[[#This Row],[Akhir]]+1)-Table1[[#This Row],[Awal]],Table1[[#This Row],[Akhir]]-Table1[[#This Row],[Awal]])*24</f>
        <v>1.0000000000000004</v>
      </c>
      <c r="O542" t="str">
        <f>IF(Table1[[#This Row],[Duration Real]]&gt;=6,"Major",
IF(Table1[[#This Row],[Duration Real]]&gt;=2,"Medium","Minor"))</f>
        <v>Minor</v>
      </c>
    </row>
    <row r="543" spans="1:15" x14ac:dyDescent="0.35">
      <c r="A543" s="2">
        <v>46162</v>
      </c>
      <c r="B543" t="s">
        <v>15</v>
      </c>
      <c r="C543" t="s">
        <v>64</v>
      </c>
      <c r="D543" t="s">
        <v>49</v>
      </c>
      <c r="E543" t="s">
        <v>54</v>
      </c>
      <c r="F543" s="3">
        <v>0.3888888888888889</v>
      </c>
      <c r="G543" s="4">
        <v>0.44305555555555554</v>
      </c>
      <c r="H543" s="5" t="s">
        <v>19</v>
      </c>
      <c r="I543" t="s">
        <v>26</v>
      </c>
      <c r="J543" t="s">
        <v>24</v>
      </c>
      <c r="K543" t="s">
        <v>22</v>
      </c>
      <c r="L543" t="s">
        <v>366</v>
      </c>
      <c r="M543" t="s">
        <v>24</v>
      </c>
      <c r="N543">
        <f>IF(Table1[[#This Row],[Akhir]]&lt;Table1[[#This Row],[Awal]],(Table1[[#This Row],[Akhir]]+1)-Table1[[#This Row],[Awal]],Table1[[#This Row],[Akhir]]-Table1[[#This Row],[Awal]])*24</f>
        <v>1.2999999999999994</v>
      </c>
      <c r="O543" t="str">
        <f>IF(Table1[[#This Row],[Duration Real]]&gt;=6,"Major",
IF(Table1[[#This Row],[Duration Real]]&gt;=2,"Medium","Minor"))</f>
        <v>Minor</v>
      </c>
    </row>
    <row r="544" spans="1:15" x14ac:dyDescent="0.35">
      <c r="A544" s="2">
        <v>46162</v>
      </c>
      <c r="B544" t="s">
        <v>15</v>
      </c>
      <c r="C544" t="s">
        <v>85</v>
      </c>
      <c r="D544" t="s">
        <v>616</v>
      </c>
      <c r="E544" t="s">
        <v>617</v>
      </c>
      <c r="F544" s="3">
        <v>0.25</v>
      </c>
      <c r="G544" s="4">
        <v>0.44444444444444442</v>
      </c>
      <c r="H544" s="5" t="s">
        <v>19</v>
      </c>
      <c r="I544" t="s">
        <v>26</v>
      </c>
      <c r="J544" t="s">
        <v>24</v>
      </c>
      <c r="K544" t="s">
        <v>22</v>
      </c>
      <c r="L544" t="s">
        <v>424</v>
      </c>
      <c r="M544" t="s">
        <v>24</v>
      </c>
      <c r="N544">
        <f>IF(Table1[[#This Row],[Akhir]]&lt;Table1[[#This Row],[Awal]],(Table1[[#This Row],[Akhir]]+1)-Table1[[#This Row],[Awal]],Table1[[#This Row],[Akhir]]-Table1[[#This Row],[Awal]])*24</f>
        <v>4.6666666666666661</v>
      </c>
      <c r="O544" t="str">
        <f>IF(Table1[[#This Row],[Duration Real]]&gt;=6,"Major",
IF(Table1[[#This Row],[Duration Real]]&gt;=2,"Medium","Minor"))</f>
        <v>Medium</v>
      </c>
    </row>
    <row r="545" spans="1:15" x14ac:dyDescent="0.35">
      <c r="A545" s="2">
        <v>46162</v>
      </c>
      <c r="B545" t="s">
        <v>15</v>
      </c>
      <c r="C545" t="s">
        <v>88</v>
      </c>
      <c r="D545" t="s">
        <v>618</v>
      </c>
      <c r="E545" t="s">
        <v>603</v>
      </c>
      <c r="F545" s="3">
        <v>0.36458333333333331</v>
      </c>
      <c r="G545" s="4">
        <v>0.46180555555555558</v>
      </c>
      <c r="H545" s="5" t="s">
        <v>19</v>
      </c>
      <c r="I545" t="s">
        <v>26</v>
      </c>
      <c r="J545" t="s">
        <v>24</v>
      </c>
      <c r="K545" t="s">
        <v>22</v>
      </c>
      <c r="L545" t="s">
        <v>43</v>
      </c>
      <c r="M545" t="s">
        <v>24</v>
      </c>
      <c r="N545">
        <f>IF(Table1[[#This Row],[Akhir]]&lt;Table1[[#This Row],[Awal]],(Table1[[#This Row],[Akhir]]+1)-Table1[[#This Row],[Awal]],Table1[[#This Row],[Akhir]]-Table1[[#This Row],[Awal]])*24</f>
        <v>2.3333333333333344</v>
      </c>
      <c r="O545" t="str">
        <f>IF(Table1[[#This Row],[Duration Real]]&gt;=6,"Major",
IF(Table1[[#This Row],[Duration Real]]&gt;=2,"Medium","Minor"))</f>
        <v>Medium</v>
      </c>
    </row>
    <row r="546" spans="1:15" x14ac:dyDescent="0.35">
      <c r="A546" s="2">
        <v>46163</v>
      </c>
      <c r="B546" t="s">
        <v>15</v>
      </c>
      <c r="C546" t="s">
        <v>16</v>
      </c>
      <c r="D546" t="s">
        <v>619</v>
      </c>
      <c r="E546" t="s">
        <v>522</v>
      </c>
      <c r="F546" s="3">
        <v>0.58680555555555558</v>
      </c>
      <c r="G546" s="4">
        <v>0.6020833333333333</v>
      </c>
      <c r="H546" s="5" t="s">
        <v>19</v>
      </c>
      <c r="I546" t="s">
        <v>26</v>
      </c>
      <c r="J546" t="s">
        <v>620</v>
      </c>
      <c r="K546" t="s">
        <v>22</v>
      </c>
      <c r="L546" t="s">
        <v>43</v>
      </c>
      <c r="M546" t="s">
        <v>24</v>
      </c>
      <c r="N546">
        <f>IF(Table1[[#This Row],[Akhir]]&lt;Table1[[#This Row],[Awal]],(Table1[[#This Row],[Akhir]]+1)-Table1[[#This Row],[Awal]],Table1[[#This Row],[Akhir]]-Table1[[#This Row],[Awal]])*24</f>
        <v>0.36666666666666536</v>
      </c>
      <c r="O546" t="str">
        <f>IF(Table1[[#This Row],[Duration Real]]&gt;=6,"Major",
IF(Table1[[#This Row],[Duration Real]]&gt;=2,"Medium","Minor"))</f>
        <v>Minor</v>
      </c>
    </row>
    <row r="547" spans="1:15" x14ac:dyDescent="0.35">
      <c r="A547" s="2">
        <v>46163</v>
      </c>
      <c r="B547" t="s">
        <v>15</v>
      </c>
      <c r="C547" t="s">
        <v>16</v>
      </c>
      <c r="D547" t="s">
        <v>621</v>
      </c>
      <c r="E547" t="s">
        <v>622</v>
      </c>
      <c r="F547" s="3">
        <v>0.82777777777777772</v>
      </c>
      <c r="G547" s="4">
        <v>0.16944444444444445</v>
      </c>
      <c r="H547" s="5" t="s">
        <v>19</v>
      </c>
      <c r="I547" t="s">
        <v>20</v>
      </c>
      <c r="J547" t="s">
        <v>24</v>
      </c>
      <c r="K547" t="s">
        <v>22</v>
      </c>
      <c r="L547" t="s">
        <v>143</v>
      </c>
      <c r="M547" t="s">
        <v>24</v>
      </c>
      <c r="N547">
        <f>IF(Table1[[#This Row],[Akhir]]&lt;Table1[[#This Row],[Awal]],(Table1[[#This Row],[Akhir]]+1)-Table1[[#This Row],[Awal]],Table1[[#This Row],[Akhir]]-Table1[[#This Row],[Awal]])*24</f>
        <v>8.2000000000000028</v>
      </c>
      <c r="O547" t="str">
        <f>IF(Table1[[#This Row],[Duration Real]]&gt;=6,"Major",
IF(Table1[[#This Row],[Duration Real]]&gt;=2,"Medium","Minor"))</f>
        <v>Major</v>
      </c>
    </row>
    <row r="548" spans="1:15" x14ac:dyDescent="0.35">
      <c r="A548" s="2">
        <v>46163</v>
      </c>
      <c r="B548" t="s">
        <v>15</v>
      </c>
      <c r="C548" t="s">
        <v>28</v>
      </c>
      <c r="D548" t="s">
        <v>623</v>
      </c>
      <c r="E548" t="s">
        <v>186</v>
      </c>
      <c r="F548" s="3">
        <v>0.54166666666666663</v>
      </c>
      <c r="G548" s="4">
        <v>0.5625</v>
      </c>
      <c r="H548" s="5" t="s">
        <v>19</v>
      </c>
      <c r="I548" t="s">
        <v>26</v>
      </c>
      <c r="J548" t="s">
        <v>24</v>
      </c>
      <c r="K548" t="s">
        <v>22</v>
      </c>
      <c r="L548" t="s">
        <v>43</v>
      </c>
      <c r="M548" t="s">
        <v>24</v>
      </c>
      <c r="N548">
        <f>IF(Table1[[#This Row],[Akhir]]&lt;Table1[[#This Row],[Awal]],(Table1[[#This Row],[Akhir]]+1)-Table1[[#This Row],[Awal]],Table1[[#This Row],[Akhir]]-Table1[[#This Row],[Awal]])*24</f>
        <v>0.50000000000000089</v>
      </c>
      <c r="O548" t="str">
        <f>IF(Table1[[#This Row],[Duration Real]]&gt;=6,"Major",
IF(Table1[[#This Row],[Duration Real]]&gt;=2,"Medium","Minor"))</f>
        <v>Minor</v>
      </c>
    </row>
    <row r="549" spans="1:15" x14ac:dyDescent="0.35">
      <c r="A549" s="2">
        <v>46163</v>
      </c>
      <c r="B549" t="s">
        <v>15</v>
      </c>
      <c r="C549" t="s">
        <v>32</v>
      </c>
      <c r="D549" t="s">
        <v>428</v>
      </c>
      <c r="E549" t="s">
        <v>34</v>
      </c>
      <c r="F549" s="3">
        <v>0.25</v>
      </c>
      <c r="G549" s="4">
        <v>0.75</v>
      </c>
      <c r="H549" s="5" t="s">
        <v>19</v>
      </c>
      <c r="I549" t="s">
        <v>26</v>
      </c>
      <c r="J549" t="s">
        <v>24</v>
      </c>
      <c r="K549" t="s">
        <v>22</v>
      </c>
      <c r="L549" t="s">
        <v>43</v>
      </c>
      <c r="M549" t="s">
        <v>24</v>
      </c>
      <c r="N549">
        <f>IF(Table1[[#This Row],[Akhir]]&lt;Table1[[#This Row],[Awal]],(Table1[[#This Row],[Akhir]]+1)-Table1[[#This Row],[Awal]],Table1[[#This Row],[Akhir]]-Table1[[#This Row],[Awal]])*24</f>
        <v>12</v>
      </c>
      <c r="O549" t="str">
        <f>IF(Table1[[#This Row],[Duration Real]]&gt;=6,"Major",
IF(Table1[[#This Row],[Duration Real]]&gt;=2,"Medium","Minor"))</f>
        <v>Major</v>
      </c>
    </row>
    <row r="550" spans="1:15" x14ac:dyDescent="0.35">
      <c r="A550" s="2">
        <v>46163</v>
      </c>
      <c r="B550" t="s">
        <v>15</v>
      </c>
      <c r="C550" t="s">
        <v>32</v>
      </c>
      <c r="D550" t="s">
        <v>428</v>
      </c>
      <c r="E550" t="s">
        <v>34</v>
      </c>
      <c r="F550" s="3">
        <v>0.75</v>
      </c>
      <c r="G550" s="4">
        <v>0.25</v>
      </c>
      <c r="H550" s="5" t="s">
        <v>19</v>
      </c>
      <c r="I550" t="s">
        <v>20</v>
      </c>
      <c r="J550" t="s">
        <v>24</v>
      </c>
      <c r="K550" t="s">
        <v>22</v>
      </c>
      <c r="L550" t="s">
        <v>43</v>
      </c>
      <c r="M550" t="s">
        <v>24</v>
      </c>
      <c r="N550">
        <f>IF(Table1[[#This Row],[Akhir]]&lt;Table1[[#This Row],[Awal]],(Table1[[#This Row],[Akhir]]+1)-Table1[[#This Row],[Awal]],Table1[[#This Row],[Akhir]]-Table1[[#This Row],[Awal]])*24</f>
        <v>12</v>
      </c>
      <c r="O550" t="str">
        <f>IF(Table1[[#This Row],[Duration Real]]&gt;=6,"Major",
IF(Table1[[#This Row],[Duration Real]]&gt;=2,"Medium","Minor"))</f>
        <v>Major</v>
      </c>
    </row>
    <row r="551" spans="1:15" x14ac:dyDescent="0.35">
      <c r="A551" s="2">
        <v>46163</v>
      </c>
      <c r="B551" t="s">
        <v>15</v>
      </c>
      <c r="C551" t="s">
        <v>36</v>
      </c>
      <c r="D551" t="s">
        <v>624</v>
      </c>
      <c r="E551" t="s">
        <v>625</v>
      </c>
      <c r="F551" s="3">
        <v>7.7777777777777779E-2</v>
      </c>
      <c r="G551" s="4">
        <v>8.4722222222222227E-2</v>
      </c>
      <c r="H551" s="5" t="s">
        <v>19</v>
      </c>
      <c r="I551" t="s">
        <v>20</v>
      </c>
      <c r="J551" t="s">
        <v>626</v>
      </c>
      <c r="K551" t="s">
        <v>22</v>
      </c>
      <c r="L551" t="s">
        <v>31</v>
      </c>
      <c r="M551" t="s">
        <v>24</v>
      </c>
      <c r="N551">
        <f>IF(Table1[[#This Row],[Akhir]]&lt;Table1[[#This Row],[Awal]],(Table1[[#This Row],[Akhir]]+1)-Table1[[#This Row],[Awal]],Table1[[#This Row],[Akhir]]-Table1[[#This Row],[Awal]])*24</f>
        <v>0.16666666666666674</v>
      </c>
      <c r="O551" t="str">
        <f>IF(Table1[[#This Row],[Duration Real]]&gt;=6,"Major",
IF(Table1[[#This Row],[Duration Real]]&gt;=2,"Medium","Minor"))</f>
        <v>Minor</v>
      </c>
    </row>
    <row r="552" spans="1:15" x14ac:dyDescent="0.35">
      <c r="A552" s="2">
        <v>46163</v>
      </c>
      <c r="B552" t="s">
        <v>15</v>
      </c>
      <c r="C552" t="s">
        <v>41</v>
      </c>
      <c r="D552" t="s">
        <v>435</v>
      </c>
      <c r="E552" t="s">
        <v>34</v>
      </c>
      <c r="F552" s="3">
        <v>0.25</v>
      </c>
      <c r="G552" s="4">
        <v>0.75</v>
      </c>
      <c r="H552" s="5" t="s">
        <v>19</v>
      </c>
      <c r="I552" t="s">
        <v>26</v>
      </c>
      <c r="J552" t="s">
        <v>24</v>
      </c>
      <c r="K552" t="s">
        <v>39</v>
      </c>
      <c r="L552" t="s">
        <v>43</v>
      </c>
      <c r="M552" t="s">
        <v>24</v>
      </c>
      <c r="N552">
        <f>IF(Table1[[#This Row],[Akhir]]&lt;Table1[[#This Row],[Awal]],(Table1[[#This Row],[Akhir]]+1)-Table1[[#This Row],[Awal]],Table1[[#This Row],[Akhir]]-Table1[[#This Row],[Awal]])*24</f>
        <v>12</v>
      </c>
      <c r="O552" t="str">
        <f>IF(Table1[[#This Row],[Duration Real]]&gt;=6,"Major",
IF(Table1[[#This Row],[Duration Real]]&gt;=2,"Medium","Minor"))</f>
        <v>Major</v>
      </c>
    </row>
    <row r="553" spans="1:15" x14ac:dyDescent="0.35">
      <c r="A553" s="2">
        <v>46163</v>
      </c>
      <c r="B553" t="s">
        <v>15</v>
      </c>
      <c r="C553" t="s">
        <v>41</v>
      </c>
      <c r="D553" t="s">
        <v>435</v>
      </c>
      <c r="E553" t="s">
        <v>34</v>
      </c>
      <c r="F553" s="3">
        <v>0.75</v>
      </c>
      <c r="G553" s="4">
        <v>0.25</v>
      </c>
      <c r="H553" s="5" t="s">
        <v>19</v>
      </c>
      <c r="I553" t="s">
        <v>20</v>
      </c>
      <c r="J553" t="s">
        <v>24</v>
      </c>
      <c r="K553" t="s">
        <v>39</v>
      </c>
      <c r="L553" t="s">
        <v>43</v>
      </c>
      <c r="M553" t="s">
        <v>24</v>
      </c>
      <c r="N553">
        <f>IF(Table1[[#This Row],[Akhir]]&lt;Table1[[#This Row],[Awal]],(Table1[[#This Row],[Akhir]]+1)-Table1[[#This Row],[Awal]],Table1[[#This Row],[Akhir]]-Table1[[#This Row],[Awal]])*24</f>
        <v>12</v>
      </c>
      <c r="O553" t="str">
        <f>IF(Table1[[#This Row],[Duration Real]]&gt;=6,"Major",
IF(Table1[[#This Row],[Duration Real]]&gt;=2,"Medium","Minor"))</f>
        <v>Major</v>
      </c>
    </row>
    <row r="554" spans="1:15" x14ac:dyDescent="0.35">
      <c r="A554" s="2">
        <v>46163</v>
      </c>
      <c r="B554" t="s">
        <v>15</v>
      </c>
      <c r="C554" t="s">
        <v>131</v>
      </c>
      <c r="D554" t="s">
        <v>627</v>
      </c>
      <c r="E554" t="s">
        <v>628</v>
      </c>
      <c r="F554" s="3">
        <v>0.75</v>
      </c>
      <c r="G554" s="4">
        <v>0.99375000000000002</v>
      </c>
      <c r="H554" s="5" t="s">
        <v>19</v>
      </c>
      <c r="I554" t="s">
        <v>20</v>
      </c>
      <c r="J554" t="s">
        <v>629</v>
      </c>
      <c r="K554" t="s">
        <v>107</v>
      </c>
      <c r="L554" t="s">
        <v>51</v>
      </c>
      <c r="M554" t="s">
        <v>24</v>
      </c>
      <c r="N554">
        <f>IF(Table1[[#This Row],[Akhir]]&lt;Table1[[#This Row],[Awal]],(Table1[[#This Row],[Akhir]]+1)-Table1[[#This Row],[Awal]],Table1[[#This Row],[Akhir]]-Table1[[#This Row],[Awal]])*24</f>
        <v>5.8500000000000005</v>
      </c>
      <c r="O554" t="str">
        <f>IF(Table1[[#This Row],[Duration Real]]&gt;=6,"Major",
IF(Table1[[#This Row],[Duration Real]]&gt;=2,"Medium","Minor"))</f>
        <v>Medium</v>
      </c>
    </row>
    <row r="555" spans="1:15" x14ac:dyDescent="0.35">
      <c r="A555" s="2">
        <v>46163</v>
      </c>
      <c r="B555" t="s">
        <v>15</v>
      </c>
      <c r="C555" t="s">
        <v>44</v>
      </c>
      <c r="D555" t="s">
        <v>45</v>
      </c>
      <c r="E555" t="s">
        <v>34</v>
      </c>
      <c r="F555" s="3">
        <v>0.25</v>
      </c>
      <c r="G555" s="4">
        <v>0.75</v>
      </c>
      <c r="H555" s="5" t="s">
        <v>19</v>
      </c>
      <c r="I555" t="s">
        <v>26</v>
      </c>
      <c r="J555" t="s">
        <v>24</v>
      </c>
      <c r="K555" t="s">
        <v>46</v>
      </c>
      <c r="L555" t="s">
        <v>47</v>
      </c>
      <c r="M555" t="s">
        <v>24</v>
      </c>
      <c r="N555">
        <f>IF(Table1[[#This Row],[Akhir]]&lt;Table1[[#This Row],[Awal]],(Table1[[#This Row],[Akhir]]+1)-Table1[[#This Row],[Awal]],Table1[[#This Row],[Akhir]]-Table1[[#This Row],[Awal]])*24</f>
        <v>12</v>
      </c>
      <c r="O555" t="str">
        <f>IF(Table1[[#This Row],[Duration Real]]&gt;=6,"Major",
IF(Table1[[#This Row],[Duration Real]]&gt;=2,"Medium","Minor"))</f>
        <v>Major</v>
      </c>
    </row>
    <row r="556" spans="1:15" x14ac:dyDescent="0.35">
      <c r="A556" s="2">
        <v>46163</v>
      </c>
      <c r="B556" t="s">
        <v>15</v>
      </c>
      <c r="C556" t="s">
        <v>44</v>
      </c>
      <c r="D556" t="s">
        <v>45</v>
      </c>
      <c r="E556" t="s">
        <v>34</v>
      </c>
      <c r="F556" s="3">
        <v>0.75</v>
      </c>
      <c r="G556" s="4">
        <v>0.25</v>
      </c>
      <c r="H556" s="5" t="s">
        <v>19</v>
      </c>
      <c r="I556" t="s">
        <v>20</v>
      </c>
      <c r="J556" t="s">
        <v>24</v>
      </c>
      <c r="K556" t="s">
        <v>46</v>
      </c>
      <c r="L556" t="s">
        <v>47</v>
      </c>
      <c r="M556" t="s">
        <v>24</v>
      </c>
      <c r="N556">
        <f>IF(Table1[[#This Row],[Akhir]]&lt;Table1[[#This Row],[Awal]],(Table1[[#This Row],[Akhir]]+1)-Table1[[#This Row],[Awal]],Table1[[#This Row],[Akhir]]-Table1[[#This Row],[Awal]])*24</f>
        <v>12</v>
      </c>
      <c r="O556" t="str">
        <f>IF(Table1[[#This Row],[Duration Real]]&gt;=6,"Major",
IF(Table1[[#This Row],[Duration Real]]&gt;=2,"Medium","Minor"))</f>
        <v>Major</v>
      </c>
    </row>
    <row r="557" spans="1:15" x14ac:dyDescent="0.35">
      <c r="A557" s="2">
        <v>46163</v>
      </c>
      <c r="B557" t="s">
        <v>15</v>
      </c>
      <c r="C557" t="s">
        <v>48</v>
      </c>
      <c r="D557" t="s">
        <v>313</v>
      </c>
      <c r="E557" t="s">
        <v>257</v>
      </c>
      <c r="F557" s="3">
        <v>0.12569444444444444</v>
      </c>
      <c r="G557" s="4">
        <v>0.14374999999999999</v>
      </c>
      <c r="H557" s="5" t="s">
        <v>19</v>
      </c>
      <c r="I557" t="s">
        <v>20</v>
      </c>
      <c r="J557" t="s">
        <v>24</v>
      </c>
      <c r="K557" t="s">
        <v>22</v>
      </c>
      <c r="L557" t="s">
        <v>83</v>
      </c>
      <c r="M557" t="s">
        <v>24</v>
      </c>
      <c r="N557">
        <f>IF(Table1[[#This Row],[Akhir]]&lt;Table1[[#This Row],[Awal]],(Table1[[#This Row],[Akhir]]+1)-Table1[[#This Row],[Awal]],Table1[[#This Row],[Akhir]]-Table1[[#This Row],[Awal]])*24</f>
        <v>0.43333333333333313</v>
      </c>
      <c r="O557" t="str">
        <f>IF(Table1[[#This Row],[Duration Real]]&gt;=6,"Major",
IF(Table1[[#This Row],[Duration Real]]&gt;=2,"Medium","Minor"))</f>
        <v>Minor</v>
      </c>
    </row>
    <row r="558" spans="1:15" x14ac:dyDescent="0.35">
      <c r="A558" s="2">
        <v>46163</v>
      </c>
      <c r="B558" t="s">
        <v>15</v>
      </c>
      <c r="C558" t="s">
        <v>48</v>
      </c>
      <c r="D558" t="s">
        <v>89</v>
      </c>
      <c r="E558" t="s">
        <v>630</v>
      </c>
      <c r="F558" s="3">
        <v>0.92638888888888893</v>
      </c>
      <c r="G558" s="4">
        <v>0.12569444444444444</v>
      </c>
      <c r="H558" s="5" t="s">
        <v>19</v>
      </c>
      <c r="I558" t="s">
        <v>20</v>
      </c>
      <c r="J558" t="s">
        <v>24</v>
      </c>
      <c r="K558" t="s">
        <v>83</v>
      </c>
      <c r="L558" t="s">
        <v>134</v>
      </c>
      <c r="M558" t="s">
        <v>24</v>
      </c>
      <c r="N558">
        <f>IF(Table1[[#This Row],[Akhir]]&lt;Table1[[#This Row],[Awal]],(Table1[[#This Row],[Akhir]]+1)-Table1[[#This Row],[Awal]],Table1[[#This Row],[Akhir]]-Table1[[#This Row],[Awal]])*24</f>
        <v>4.783333333333335</v>
      </c>
      <c r="O558" t="str">
        <f>IF(Table1[[#This Row],[Duration Real]]&gt;=6,"Major",
IF(Table1[[#This Row],[Duration Real]]&gt;=2,"Medium","Minor"))</f>
        <v>Medium</v>
      </c>
    </row>
    <row r="559" spans="1:15" x14ac:dyDescent="0.35">
      <c r="A559" s="2">
        <v>46163</v>
      </c>
      <c r="B559" t="s">
        <v>15</v>
      </c>
      <c r="C559" t="s">
        <v>48</v>
      </c>
      <c r="D559" t="s">
        <v>631</v>
      </c>
      <c r="E559" t="s">
        <v>80</v>
      </c>
      <c r="F559" s="3">
        <v>0.27986111111111112</v>
      </c>
      <c r="G559" s="4">
        <v>0.43055555555555558</v>
      </c>
      <c r="H559" s="5" t="s">
        <v>19</v>
      </c>
      <c r="I559" t="s">
        <v>26</v>
      </c>
      <c r="J559" t="s">
        <v>632</v>
      </c>
      <c r="K559" t="s">
        <v>107</v>
      </c>
      <c r="L559" t="s">
        <v>51</v>
      </c>
      <c r="M559" t="s">
        <v>24</v>
      </c>
      <c r="N559">
        <f>IF(Table1[[#This Row],[Akhir]]&lt;Table1[[#This Row],[Awal]],(Table1[[#This Row],[Akhir]]+1)-Table1[[#This Row],[Awal]],Table1[[#This Row],[Akhir]]-Table1[[#This Row],[Awal]])*24</f>
        <v>3.6166666666666671</v>
      </c>
      <c r="O559" t="str">
        <f>IF(Table1[[#This Row],[Duration Real]]&gt;=6,"Major",
IF(Table1[[#This Row],[Duration Real]]&gt;=2,"Medium","Minor"))</f>
        <v>Medium</v>
      </c>
    </row>
    <row r="560" spans="1:15" x14ac:dyDescent="0.35">
      <c r="A560" s="2">
        <v>46163</v>
      </c>
      <c r="B560" t="s">
        <v>15</v>
      </c>
      <c r="C560" t="s">
        <v>52</v>
      </c>
      <c r="D560" t="s">
        <v>633</v>
      </c>
      <c r="E560" t="s">
        <v>634</v>
      </c>
      <c r="F560" s="3">
        <v>0.26666666666666666</v>
      </c>
      <c r="G560" s="4">
        <v>0.75</v>
      </c>
      <c r="H560" s="5" t="s">
        <v>19</v>
      </c>
      <c r="I560" t="s">
        <v>26</v>
      </c>
      <c r="J560" t="s">
        <v>635</v>
      </c>
      <c r="K560" t="s">
        <v>39</v>
      </c>
      <c r="L560" t="s">
        <v>636</v>
      </c>
      <c r="M560" t="s">
        <v>24</v>
      </c>
      <c r="N560">
        <f>IF(Table1[[#This Row],[Akhir]]&lt;Table1[[#This Row],[Awal]],(Table1[[#This Row],[Akhir]]+1)-Table1[[#This Row],[Awal]],Table1[[#This Row],[Akhir]]-Table1[[#This Row],[Awal]])*24</f>
        <v>11.6</v>
      </c>
      <c r="O560" t="str">
        <f>IF(Table1[[#This Row],[Duration Real]]&gt;=6,"Major",
IF(Table1[[#This Row],[Duration Real]]&gt;=2,"Medium","Minor"))</f>
        <v>Major</v>
      </c>
    </row>
    <row r="561" spans="1:15" x14ac:dyDescent="0.35">
      <c r="A561" s="2">
        <v>46163</v>
      </c>
      <c r="B561" t="s">
        <v>15</v>
      </c>
      <c r="C561" t="s">
        <v>52</v>
      </c>
      <c r="D561" t="s">
        <v>633</v>
      </c>
      <c r="E561" t="s">
        <v>34</v>
      </c>
      <c r="F561" s="3">
        <v>0.75</v>
      </c>
      <c r="G561" s="4">
        <v>0.25</v>
      </c>
      <c r="H561" s="5" t="s">
        <v>19</v>
      </c>
      <c r="I561" t="s">
        <v>20</v>
      </c>
      <c r="J561" t="s">
        <v>635</v>
      </c>
      <c r="K561" t="s">
        <v>39</v>
      </c>
      <c r="L561" t="s">
        <v>636</v>
      </c>
      <c r="M561" t="s">
        <v>24</v>
      </c>
      <c r="N561">
        <f>IF(Table1[[#This Row],[Akhir]]&lt;Table1[[#This Row],[Awal]],(Table1[[#This Row],[Akhir]]+1)-Table1[[#This Row],[Awal]],Table1[[#This Row],[Akhir]]-Table1[[#This Row],[Awal]])*24</f>
        <v>12</v>
      </c>
      <c r="O561" t="str">
        <f>IF(Table1[[#This Row],[Duration Real]]&gt;=6,"Major",
IF(Table1[[#This Row],[Duration Real]]&gt;=2,"Medium","Minor"))</f>
        <v>Major</v>
      </c>
    </row>
    <row r="562" spans="1:15" x14ac:dyDescent="0.35">
      <c r="A562" s="2">
        <v>46163</v>
      </c>
      <c r="B562" t="s">
        <v>15</v>
      </c>
      <c r="C562" t="s">
        <v>64</v>
      </c>
      <c r="D562" t="s">
        <v>637</v>
      </c>
      <c r="E562" t="s">
        <v>123</v>
      </c>
      <c r="F562" s="3">
        <v>0.36875000000000002</v>
      </c>
      <c r="G562" s="4">
        <v>0.42152777777777778</v>
      </c>
      <c r="H562" s="5" t="s">
        <v>19</v>
      </c>
      <c r="I562" t="s">
        <v>26</v>
      </c>
      <c r="J562" t="s">
        <v>24</v>
      </c>
      <c r="K562" t="s">
        <v>22</v>
      </c>
      <c r="L562" t="s">
        <v>143</v>
      </c>
      <c r="M562" t="s">
        <v>24</v>
      </c>
      <c r="N562">
        <f>IF(Table1[[#This Row],[Akhir]]&lt;Table1[[#This Row],[Awal]],(Table1[[#This Row],[Akhir]]+1)-Table1[[#This Row],[Awal]],Table1[[#This Row],[Akhir]]-Table1[[#This Row],[Awal]])*24</f>
        <v>1.2666666666666662</v>
      </c>
      <c r="O562" t="str">
        <f>IF(Table1[[#This Row],[Duration Real]]&gt;=6,"Major",
IF(Table1[[#This Row],[Duration Real]]&gt;=2,"Medium","Minor"))</f>
        <v>Minor</v>
      </c>
    </row>
    <row r="563" spans="1:15" x14ac:dyDescent="0.35">
      <c r="A563" s="2">
        <v>46163</v>
      </c>
      <c r="B563" t="s">
        <v>15</v>
      </c>
      <c r="C563" t="s">
        <v>64</v>
      </c>
      <c r="D563" t="s">
        <v>638</v>
      </c>
      <c r="E563" t="s">
        <v>639</v>
      </c>
      <c r="F563" s="3">
        <v>0.625</v>
      </c>
      <c r="G563" s="4">
        <v>0.62916666666666665</v>
      </c>
      <c r="H563" s="5" t="s">
        <v>19</v>
      </c>
      <c r="I563" t="s">
        <v>26</v>
      </c>
      <c r="J563" t="s">
        <v>24</v>
      </c>
      <c r="K563" t="s">
        <v>22</v>
      </c>
      <c r="L563" t="s">
        <v>366</v>
      </c>
      <c r="M563" t="s">
        <v>24</v>
      </c>
      <c r="N563">
        <f>IF(Table1[[#This Row],[Akhir]]&lt;Table1[[#This Row],[Awal]],(Table1[[#This Row],[Akhir]]+1)-Table1[[#This Row],[Awal]],Table1[[#This Row],[Akhir]]-Table1[[#This Row],[Awal]])*24</f>
        <v>9.9999999999999645E-2</v>
      </c>
      <c r="O563" t="str">
        <f>IF(Table1[[#This Row],[Duration Real]]&gt;=6,"Major",
IF(Table1[[#This Row],[Duration Real]]&gt;=2,"Medium","Minor"))</f>
        <v>Minor</v>
      </c>
    </row>
    <row r="564" spans="1:15" x14ac:dyDescent="0.35">
      <c r="A564" s="2">
        <v>46163</v>
      </c>
      <c r="B564" t="s">
        <v>15</v>
      </c>
      <c r="C564" t="s">
        <v>76</v>
      </c>
      <c r="D564" t="s">
        <v>640</v>
      </c>
      <c r="E564" t="s">
        <v>503</v>
      </c>
      <c r="F564" s="3">
        <v>0.75</v>
      </c>
      <c r="G564" s="4">
        <v>0.82708333333333328</v>
      </c>
      <c r="H564" s="5" t="s">
        <v>19</v>
      </c>
      <c r="I564" t="s">
        <v>20</v>
      </c>
      <c r="J564" t="s">
        <v>24</v>
      </c>
      <c r="K564" t="s">
        <v>22</v>
      </c>
      <c r="L564" t="s">
        <v>366</v>
      </c>
      <c r="M564" t="s">
        <v>24</v>
      </c>
      <c r="N564">
        <f>IF(Table1[[#This Row],[Akhir]]&lt;Table1[[#This Row],[Awal]],(Table1[[#This Row],[Akhir]]+1)-Table1[[#This Row],[Awal]],Table1[[#This Row],[Akhir]]-Table1[[#This Row],[Awal]])*24</f>
        <v>1.8499999999999988</v>
      </c>
      <c r="O564" t="str">
        <f>IF(Table1[[#This Row],[Duration Real]]&gt;=6,"Major",
IF(Table1[[#This Row],[Duration Real]]&gt;=2,"Medium","Minor"))</f>
        <v>Minor</v>
      </c>
    </row>
    <row r="565" spans="1:15" x14ac:dyDescent="0.35">
      <c r="A565" s="2">
        <v>46163</v>
      </c>
      <c r="B565" t="s">
        <v>15</v>
      </c>
      <c r="C565" t="s">
        <v>76</v>
      </c>
      <c r="D565" t="s">
        <v>294</v>
      </c>
      <c r="E565" t="s">
        <v>641</v>
      </c>
      <c r="F565" s="3">
        <v>0.98263888888888884</v>
      </c>
      <c r="G565" s="4">
        <v>0.25</v>
      </c>
      <c r="H565" s="5" t="s">
        <v>19</v>
      </c>
      <c r="I565" t="s">
        <v>20</v>
      </c>
      <c r="J565" t="s">
        <v>24</v>
      </c>
      <c r="K565" t="s">
        <v>22</v>
      </c>
      <c r="L565" t="s">
        <v>366</v>
      </c>
      <c r="M565" t="s">
        <v>24</v>
      </c>
      <c r="N565">
        <f>IF(Table1[[#This Row],[Akhir]]&lt;Table1[[#This Row],[Awal]],(Table1[[#This Row],[Akhir]]+1)-Table1[[#This Row],[Awal]],Table1[[#This Row],[Akhir]]-Table1[[#This Row],[Awal]])*24</f>
        <v>6.4166666666666679</v>
      </c>
      <c r="O565" t="str">
        <f>IF(Table1[[#This Row],[Duration Real]]&gt;=6,"Major",
IF(Table1[[#This Row],[Duration Real]]&gt;=2,"Medium","Minor"))</f>
        <v>Major</v>
      </c>
    </row>
    <row r="566" spans="1:15" x14ac:dyDescent="0.35">
      <c r="A566" s="2">
        <v>46163</v>
      </c>
      <c r="B566" t="s">
        <v>15</v>
      </c>
      <c r="C566" t="s">
        <v>85</v>
      </c>
      <c r="D566" t="s">
        <v>547</v>
      </c>
      <c r="E566" t="s">
        <v>305</v>
      </c>
      <c r="F566" s="3">
        <v>6.5972222222222224E-2</v>
      </c>
      <c r="G566" s="4">
        <v>9.166666666666666E-2</v>
      </c>
      <c r="H566" s="5" t="s">
        <v>19</v>
      </c>
      <c r="I566" t="s">
        <v>20</v>
      </c>
      <c r="J566" t="s">
        <v>642</v>
      </c>
      <c r="K566" t="s">
        <v>22</v>
      </c>
      <c r="L566" t="s">
        <v>515</v>
      </c>
      <c r="M566" t="s">
        <v>24</v>
      </c>
      <c r="N566">
        <f>IF(Table1[[#This Row],[Akhir]]&lt;Table1[[#This Row],[Awal]],(Table1[[#This Row],[Akhir]]+1)-Table1[[#This Row],[Awal]],Table1[[#This Row],[Akhir]]-Table1[[#This Row],[Awal]])*24</f>
        <v>0.61666666666666647</v>
      </c>
      <c r="O566" t="str">
        <f>IF(Table1[[#This Row],[Duration Real]]&gt;=6,"Major",
IF(Table1[[#This Row],[Duration Real]]&gt;=2,"Medium","Minor"))</f>
        <v>Minor</v>
      </c>
    </row>
    <row r="567" spans="1:15" x14ac:dyDescent="0.35">
      <c r="A567" s="2">
        <v>46163</v>
      </c>
      <c r="B567" t="s">
        <v>15</v>
      </c>
      <c r="C567" t="s">
        <v>85</v>
      </c>
      <c r="D567" t="s">
        <v>49</v>
      </c>
      <c r="E567" t="s">
        <v>643</v>
      </c>
      <c r="F567" s="3">
        <v>0.77777777777777779</v>
      </c>
      <c r="G567" s="4">
        <v>0.8</v>
      </c>
      <c r="H567" s="5" t="s">
        <v>19</v>
      </c>
      <c r="I567" t="s">
        <v>20</v>
      </c>
      <c r="J567" t="s">
        <v>644</v>
      </c>
      <c r="K567" t="s">
        <v>22</v>
      </c>
      <c r="L567" t="s">
        <v>374</v>
      </c>
      <c r="M567" t="s">
        <v>24</v>
      </c>
      <c r="N567">
        <f>IF(Table1[[#This Row],[Akhir]]&lt;Table1[[#This Row],[Awal]],(Table1[[#This Row],[Akhir]]+1)-Table1[[#This Row],[Awal]],Table1[[#This Row],[Akhir]]-Table1[[#This Row],[Awal]])*24</f>
        <v>0.5333333333333341</v>
      </c>
      <c r="O567" t="str">
        <f>IF(Table1[[#This Row],[Duration Real]]&gt;=6,"Major",
IF(Table1[[#This Row],[Duration Real]]&gt;=2,"Medium","Minor"))</f>
        <v>Minor</v>
      </c>
    </row>
    <row r="568" spans="1:15" x14ac:dyDescent="0.35">
      <c r="A568" s="2">
        <v>46163</v>
      </c>
      <c r="B568" t="s">
        <v>15</v>
      </c>
      <c r="C568" t="s">
        <v>85</v>
      </c>
      <c r="D568" t="s">
        <v>301</v>
      </c>
      <c r="E568" t="s">
        <v>562</v>
      </c>
      <c r="F568" s="3">
        <v>0.25</v>
      </c>
      <c r="G568" s="4">
        <v>0.28472222222222221</v>
      </c>
      <c r="H568" s="5" t="s">
        <v>19</v>
      </c>
      <c r="I568" t="s">
        <v>26</v>
      </c>
      <c r="J568" t="s">
        <v>645</v>
      </c>
      <c r="K568" t="s">
        <v>22</v>
      </c>
      <c r="L568" t="s">
        <v>550</v>
      </c>
      <c r="M568" t="s">
        <v>24</v>
      </c>
      <c r="N568">
        <f>IF(Table1[[#This Row],[Akhir]]&lt;Table1[[#This Row],[Awal]],(Table1[[#This Row],[Akhir]]+1)-Table1[[#This Row],[Awal]],Table1[[#This Row],[Akhir]]-Table1[[#This Row],[Awal]])*24</f>
        <v>0.83333333333333304</v>
      </c>
      <c r="O568" t="str">
        <f>IF(Table1[[#This Row],[Duration Real]]&gt;=6,"Major",
IF(Table1[[#This Row],[Duration Real]]&gt;=2,"Medium","Minor"))</f>
        <v>Minor</v>
      </c>
    </row>
    <row r="569" spans="1:15" x14ac:dyDescent="0.35">
      <c r="A569" s="2">
        <v>46163</v>
      </c>
      <c r="B569" t="s">
        <v>15</v>
      </c>
      <c r="C569" t="s">
        <v>88</v>
      </c>
      <c r="D569" t="s">
        <v>646</v>
      </c>
      <c r="E569" t="s">
        <v>643</v>
      </c>
      <c r="F569" s="3">
        <v>0.8</v>
      </c>
      <c r="G569" s="4">
        <v>0.82222222222222219</v>
      </c>
      <c r="H569" s="5" t="s">
        <v>19</v>
      </c>
      <c r="I569" t="s">
        <v>20</v>
      </c>
      <c r="J569" t="s">
        <v>24</v>
      </c>
      <c r="K569" t="s">
        <v>22</v>
      </c>
      <c r="L569" t="s">
        <v>647</v>
      </c>
      <c r="M569" t="s">
        <v>24</v>
      </c>
      <c r="N569">
        <f>IF(Table1[[#This Row],[Akhir]]&lt;Table1[[#This Row],[Awal]],(Table1[[#This Row],[Akhir]]+1)-Table1[[#This Row],[Awal]],Table1[[#This Row],[Akhir]]-Table1[[#This Row],[Awal]])*24</f>
        <v>0.53333333333333144</v>
      </c>
      <c r="O569" t="str">
        <f>IF(Table1[[#This Row],[Duration Real]]&gt;=6,"Major",
IF(Table1[[#This Row],[Duration Real]]&gt;=2,"Medium","Minor"))</f>
        <v>Minor</v>
      </c>
    </row>
    <row r="570" spans="1:15" x14ac:dyDescent="0.35">
      <c r="A570" s="2">
        <v>46163</v>
      </c>
      <c r="B570" t="s">
        <v>15</v>
      </c>
      <c r="C570" t="s">
        <v>88</v>
      </c>
      <c r="D570" t="s">
        <v>648</v>
      </c>
      <c r="E570" t="s">
        <v>649</v>
      </c>
      <c r="F570" s="3">
        <v>0.84513888888888888</v>
      </c>
      <c r="G570" s="4">
        <v>0.23958333333333334</v>
      </c>
      <c r="H570" s="5" t="s">
        <v>19</v>
      </c>
      <c r="I570" t="s">
        <v>20</v>
      </c>
      <c r="J570" t="s">
        <v>24</v>
      </c>
      <c r="K570" t="s">
        <v>22</v>
      </c>
      <c r="L570" t="s">
        <v>647</v>
      </c>
      <c r="M570" t="s">
        <v>24</v>
      </c>
      <c r="N570">
        <f>IF(Table1[[#This Row],[Akhir]]&lt;Table1[[#This Row],[Awal]],(Table1[[#This Row],[Akhir]]+1)-Table1[[#This Row],[Awal]],Table1[[#This Row],[Akhir]]-Table1[[#This Row],[Awal]])*24</f>
        <v>9.466666666666665</v>
      </c>
      <c r="O570" t="str">
        <f>IF(Table1[[#This Row],[Duration Real]]&gt;=6,"Major",
IF(Table1[[#This Row],[Duration Real]]&gt;=2,"Medium","Minor"))</f>
        <v>Major</v>
      </c>
    </row>
    <row r="571" spans="1:15" x14ac:dyDescent="0.35">
      <c r="A571" s="2">
        <v>46163</v>
      </c>
      <c r="B571" t="s">
        <v>15</v>
      </c>
      <c r="C571" t="s">
        <v>88</v>
      </c>
      <c r="D571" t="s">
        <v>480</v>
      </c>
      <c r="E571" t="s">
        <v>479</v>
      </c>
      <c r="F571" s="3">
        <v>0.32777777777777778</v>
      </c>
      <c r="G571" s="4">
        <v>0.3576388888888889</v>
      </c>
      <c r="H571" s="5" t="s">
        <v>19</v>
      </c>
      <c r="I571" t="s">
        <v>26</v>
      </c>
      <c r="J571" t="s">
        <v>650</v>
      </c>
      <c r="K571" t="s">
        <v>22</v>
      </c>
      <c r="L571" t="s">
        <v>143</v>
      </c>
      <c r="M571" t="s">
        <v>24</v>
      </c>
      <c r="N571">
        <f>IF(Table1[[#This Row],[Akhir]]&lt;Table1[[#This Row],[Awal]],(Table1[[#This Row],[Akhir]]+1)-Table1[[#This Row],[Awal]],Table1[[#This Row],[Akhir]]-Table1[[#This Row],[Awal]])*24</f>
        <v>0.71666666666666679</v>
      </c>
      <c r="O571" t="str">
        <f>IF(Table1[[#This Row],[Duration Real]]&gt;=6,"Major",
IF(Table1[[#This Row],[Duration Real]]&gt;=2,"Medium","Minor"))</f>
        <v>Minor</v>
      </c>
    </row>
    <row r="572" spans="1:15" x14ac:dyDescent="0.35">
      <c r="A572" s="2">
        <v>46163</v>
      </c>
      <c r="B572" t="s">
        <v>15</v>
      </c>
      <c r="C572" t="s">
        <v>88</v>
      </c>
      <c r="D572" t="s">
        <v>651</v>
      </c>
      <c r="E572" t="s">
        <v>128</v>
      </c>
      <c r="F572" s="3">
        <v>0.25</v>
      </c>
      <c r="G572" s="4">
        <v>0.30208333333333331</v>
      </c>
      <c r="H572" s="5" t="s">
        <v>19</v>
      </c>
      <c r="I572" t="s">
        <v>26</v>
      </c>
      <c r="J572" t="s">
        <v>24</v>
      </c>
      <c r="K572" t="s">
        <v>39</v>
      </c>
      <c r="L572" t="s">
        <v>43</v>
      </c>
      <c r="M572" t="s">
        <v>24</v>
      </c>
      <c r="N572">
        <f>IF(Table1[[#This Row],[Akhir]]&lt;Table1[[#This Row],[Awal]],(Table1[[#This Row],[Akhir]]+1)-Table1[[#This Row],[Awal]],Table1[[#This Row],[Akhir]]-Table1[[#This Row],[Awal]])*24</f>
        <v>1.2499999999999996</v>
      </c>
      <c r="O572" t="str">
        <f>IF(Table1[[#This Row],[Duration Real]]&gt;=6,"Major",
IF(Table1[[#This Row],[Duration Real]]&gt;=2,"Medium","Minor"))</f>
        <v>Minor</v>
      </c>
    </row>
    <row r="573" spans="1:15" x14ac:dyDescent="0.35">
      <c r="A573" s="2">
        <v>46163</v>
      </c>
      <c r="B573" t="s">
        <v>94</v>
      </c>
      <c r="C573" t="s">
        <v>95</v>
      </c>
      <c r="D573" t="s">
        <v>652</v>
      </c>
      <c r="E573" t="s">
        <v>653</v>
      </c>
      <c r="F573" s="3">
        <v>0.75</v>
      </c>
      <c r="G573" s="4">
        <v>0.86041666666666672</v>
      </c>
      <c r="H573" s="5" t="s">
        <v>19</v>
      </c>
      <c r="I573" t="s">
        <v>20</v>
      </c>
      <c r="J573" t="s">
        <v>654</v>
      </c>
      <c r="K573" t="s">
        <v>22</v>
      </c>
      <c r="L573" t="s">
        <v>23</v>
      </c>
      <c r="M573" t="s">
        <v>24</v>
      </c>
      <c r="N573">
        <f>IF(Table1[[#This Row],[Akhir]]&lt;Table1[[#This Row],[Awal]],(Table1[[#This Row],[Akhir]]+1)-Table1[[#This Row],[Awal]],Table1[[#This Row],[Akhir]]-Table1[[#This Row],[Awal]])*24</f>
        <v>2.6500000000000012</v>
      </c>
      <c r="O573" t="str">
        <f>IF(Table1[[#This Row],[Duration Real]]&gt;=6,"Major",
IF(Table1[[#This Row],[Duration Real]]&gt;=2,"Medium","Minor"))</f>
        <v>Medium</v>
      </c>
    </row>
    <row r="574" spans="1:15" x14ac:dyDescent="0.35">
      <c r="A574" s="2">
        <v>46163</v>
      </c>
      <c r="B574" t="s">
        <v>94</v>
      </c>
      <c r="C574" t="s">
        <v>95</v>
      </c>
      <c r="D574" t="s">
        <v>652</v>
      </c>
      <c r="E574" t="s">
        <v>191</v>
      </c>
      <c r="F574" s="3">
        <v>0.625</v>
      </c>
      <c r="G574" s="4">
        <v>0.75</v>
      </c>
      <c r="H574" s="5" t="s">
        <v>19</v>
      </c>
      <c r="I574" t="s">
        <v>26</v>
      </c>
      <c r="J574" t="s">
        <v>654</v>
      </c>
      <c r="K574" t="s">
        <v>22</v>
      </c>
      <c r="L574" t="s">
        <v>23</v>
      </c>
      <c r="M574" t="s">
        <v>24</v>
      </c>
      <c r="N574">
        <f>IF(Table1[[#This Row],[Akhir]]&lt;Table1[[#This Row],[Awal]],(Table1[[#This Row],[Akhir]]+1)-Table1[[#This Row],[Awal]],Table1[[#This Row],[Akhir]]-Table1[[#This Row],[Awal]])*24</f>
        <v>3</v>
      </c>
      <c r="O574" t="str">
        <f>IF(Table1[[#This Row],[Duration Real]]&gt;=6,"Major",
IF(Table1[[#This Row],[Duration Real]]&gt;=2,"Medium","Minor"))</f>
        <v>Medium</v>
      </c>
    </row>
    <row r="575" spans="1:15" x14ac:dyDescent="0.35">
      <c r="A575" s="2">
        <v>46163</v>
      </c>
      <c r="B575" t="s">
        <v>94</v>
      </c>
      <c r="C575" t="s">
        <v>95</v>
      </c>
      <c r="D575" t="s">
        <v>655</v>
      </c>
      <c r="E575" t="s">
        <v>97</v>
      </c>
      <c r="F575" s="3">
        <v>0.9916666666666667</v>
      </c>
      <c r="G575" s="4">
        <v>0.14583333333333334</v>
      </c>
      <c r="H575" s="5" t="s">
        <v>19</v>
      </c>
      <c r="I575" t="s">
        <v>20</v>
      </c>
      <c r="J575" t="s">
        <v>656</v>
      </c>
      <c r="K575" t="s">
        <v>22</v>
      </c>
      <c r="L575" t="s">
        <v>143</v>
      </c>
      <c r="M575" t="s">
        <v>24</v>
      </c>
      <c r="N575">
        <f>IF(Table1[[#This Row],[Akhir]]&lt;Table1[[#This Row],[Awal]],(Table1[[#This Row],[Akhir]]+1)-Table1[[#This Row],[Awal]],Table1[[#This Row],[Akhir]]-Table1[[#This Row],[Awal]])*24</f>
        <v>3.6999999999999975</v>
      </c>
      <c r="O575" t="str">
        <f>IF(Table1[[#This Row],[Duration Real]]&gt;=6,"Major",
IF(Table1[[#This Row],[Duration Real]]&gt;=2,"Medium","Minor"))</f>
        <v>Medium</v>
      </c>
    </row>
    <row r="576" spans="1:15" x14ac:dyDescent="0.35">
      <c r="A576" s="2">
        <v>46163</v>
      </c>
      <c r="B576" t="s">
        <v>94</v>
      </c>
      <c r="C576" t="s">
        <v>99</v>
      </c>
      <c r="D576" t="s">
        <v>657</v>
      </c>
      <c r="E576" t="s">
        <v>658</v>
      </c>
      <c r="F576" s="3">
        <v>0.25</v>
      </c>
      <c r="G576" s="4">
        <v>0.35486111111111113</v>
      </c>
      <c r="H576" s="5" t="s">
        <v>19</v>
      </c>
      <c r="I576" t="s">
        <v>26</v>
      </c>
      <c r="J576" t="s">
        <v>24</v>
      </c>
      <c r="K576" t="s">
        <v>39</v>
      </c>
      <c r="L576" t="s">
        <v>43</v>
      </c>
      <c r="M576" t="s">
        <v>24</v>
      </c>
      <c r="N576">
        <f>IF(Table1[[#This Row],[Akhir]]&lt;Table1[[#This Row],[Awal]],(Table1[[#This Row],[Akhir]]+1)-Table1[[#This Row],[Awal]],Table1[[#This Row],[Akhir]]-Table1[[#This Row],[Awal]])*24</f>
        <v>2.5166666666666671</v>
      </c>
      <c r="O576" t="str">
        <f>IF(Table1[[#This Row],[Duration Real]]&gt;=6,"Major",
IF(Table1[[#This Row],[Duration Real]]&gt;=2,"Medium","Minor"))</f>
        <v>Medium</v>
      </c>
    </row>
    <row r="577" spans="1:15" x14ac:dyDescent="0.35">
      <c r="A577" s="2">
        <v>46164</v>
      </c>
      <c r="B577" t="s">
        <v>15</v>
      </c>
      <c r="C577" t="s">
        <v>32</v>
      </c>
      <c r="D577" t="s">
        <v>428</v>
      </c>
      <c r="E577" t="s">
        <v>34</v>
      </c>
      <c r="F577" s="3">
        <v>0.25</v>
      </c>
      <c r="G577" s="4">
        <v>0.75</v>
      </c>
      <c r="H577" s="5" t="s">
        <v>19</v>
      </c>
      <c r="I577" t="s">
        <v>26</v>
      </c>
      <c r="J577" t="s">
        <v>24</v>
      </c>
      <c r="K577" t="s">
        <v>22</v>
      </c>
      <c r="L577" t="s">
        <v>43</v>
      </c>
      <c r="M577" t="s">
        <v>24</v>
      </c>
      <c r="N577">
        <f>IF(Table1[[#This Row],[Akhir]]&lt;Table1[[#This Row],[Awal]],(Table1[[#This Row],[Akhir]]+1)-Table1[[#This Row],[Awal]],Table1[[#This Row],[Akhir]]-Table1[[#This Row],[Awal]])*24</f>
        <v>12</v>
      </c>
      <c r="O577" t="str">
        <f>IF(Table1[[#This Row],[Duration Real]]&gt;=6,"Major",
IF(Table1[[#This Row],[Duration Real]]&gt;=2,"Medium","Minor"))</f>
        <v>Major</v>
      </c>
    </row>
    <row r="578" spans="1:15" x14ac:dyDescent="0.35">
      <c r="A578" s="2">
        <v>46164</v>
      </c>
      <c r="B578" t="s">
        <v>15</v>
      </c>
      <c r="C578" t="s">
        <v>41</v>
      </c>
      <c r="D578" t="s">
        <v>435</v>
      </c>
      <c r="E578" t="s">
        <v>34</v>
      </c>
      <c r="F578" s="3">
        <v>0.25</v>
      </c>
      <c r="G578" s="4">
        <v>0.75</v>
      </c>
      <c r="H578" s="5" t="s">
        <v>19</v>
      </c>
      <c r="I578" t="s">
        <v>26</v>
      </c>
      <c r="J578" t="s">
        <v>24</v>
      </c>
      <c r="K578" t="s">
        <v>39</v>
      </c>
      <c r="L578" t="s">
        <v>43</v>
      </c>
      <c r="M578" t="s">
        <v>24</v>
      </c>
      <c r="N578">
        <f>IF(Table1[[#This Row],[Akhir]]&lt;Table1[[#This Row],[Awal]],(Table1[[#This Row],[Akhir]]+1)-Table1[[#This Row],[Awal]],Table1[[#This Row],[Akhir]]-Table1[[#This Row],[Awal]])*24</f>
        <v>12</v>
      </c>
      <c r="O578" t="str">
        <f>IF(Table1[[#This Row],[Duration Real]]&gt;=6,"Major",
IF(Table1[[#This Row],[Duration Real]]&gt;=2,"Medium","Minor"))</f>
        <v>Major</v>
      </c>
    </row>
    <row r="579" spans="1:15" x14ac:dyDescent="0.35">
      <c r="A579" s="2">
        <v>46164</v>
      </c>
      <c r="B579" t="s">
        <v>15</v>
      </c>
      <c r="C579" t="s">
        <v>131</v>
      </c>
      <c r="D579" t="s">
        <v>659</v>
      </c>
      <c r="E579" t="s">
        <v>660</v>
      </c>
      <c r="F579" s="3">
        <v>0.4548611111111111</v>
      </c>
      <c r="G579" s="4">
        <v>0.71319444444444446</v>
      </c>
      <c r="H579" s="5" t="s">
        <v>19</v>
      </c>
      <c r="I579" t="s">
        <v>26</v>
      </c>
      <c r="J579" t="s">
        <v>24</v>
      </c>
      <c r="K579" t="s">
        <v>83</v>
      </c>
      <c r="L579" t="s">
        <v>23</v>
      </c>
      <c r="M579" t="s">
        <v>24</v>
      </c>
      <c r="N579">
        <f>IF(Table1[[#This Row],[Akhir]]&lt;Table1[[#This Row],[Awal]],(Table1[[#This Row],[Akhir]]+1)-Table1[[#This Row],[Awal]],Table1[[#This Row],[Akhir]]-Table1[[#This Row],[Awal]])*24</f>
        <v>6.2000000000000011</v>
      </c>
      <c r="O579" t="str">
        <f>IF(Table1[[#This Row],[Duration Real]]&gt;=6,"Major",
IF(Table1[[#This Row],[Duration Real]]&gt;=2,"Medium","Minor"))</f>
        <v>Major</v>
      </c>
    </row>
    <row r="580" spans="1:15" x14ac:dyDescent="0.35">
      <c r="A580" s="2">
        <v>46164</v>
      </c>
      <c r="B580" t="s">
        <v>15</v>
      </c>
      <c r="C580" t="s">
        <v>48</v>
      </c>
      <c r="D580" t="s">
        <v>187</v>
      </c>
      <c r="E580" t="s">
        <v>661</v>
      </c>
      <c r="F580" s="3">
        <v>0.25</v>
      </c>
      <c r="G580" s="4">
        <v>0.6479166666666667</v>
      </c>
      <c r="H580" s="5" t="s">
        <v>19</v>
      </c>
      <c r="I580" t="s">
        <v>26</v>
      </c>
      <c r="J580" t="s">
        <v>662</v>
      </c>
      <c r="K580" t="s">
        <v>83</v>
      </c>
      <c r="L580" t="s">
        <v>83</v>
      </c>
      <c r="M580" t="s">
        <v>24</v>
      </c>
      <c r="N580">
        <f>IF(Table1[[#This Row],[Akhir]]&lt;Table1[[#This Row],[Awal]],(Table1[[#This Row],[Akhir]]+1)-Table1[[#This Row],[Awal]],Table1[[#This Row],[Akhir]]-Table1[[#This Row],[Awal]])*24</f>
        <v>9.5500000000000007</v>
      </c>
      <c r="O580" t="str">
        <f>IF(Table1[[#This Row],[Duration Real]]&gt;=6,"Major",
IF(Table1[[#This Row],[Duration Real]]&gt;=2,"Medium","Minor"))</f>
        <v>Major</v>
      </c>
    </row>
    <row r="581" spans="1:15" x14ac:dyDescent="0.35">
      <c r="A581" s="2">
        <v>46164</v>
      </c>
      <c r="B581" t="s">
        <v>15</v>
      </c>
      <c r="C581" t="s">
        <v>52</v>
      </c>
      <c r="D581" t="s">
        <v>633</v>
      </c>
      <c r="E581" t="s">
        <v>34</v>
      </c>
      <c r="F581" s="3">
        <v>0.25</v>
      </c>
      <c r="G581" s="4">
        <v>0.75</v>
      </c>
      <c r="H581" s="5" t="s">
        <v>19</v>
      </c>
      <c r="I581" t="s">
        <v>26</v>
      </c>
      <c r="J581" t="s">
        <v>635</v>
      </c>
      <c r="K581" t="s">
        <v>39</v>
      </c>
      <c r="L581" t="s">
        <v>636</v>
      </c>
      <c r="M581" t="s">
        <v>24</v>
      </c>
      <c r="N581">
        <f>IF(Table1[[#This Row],[Akhir]]&lt;Table1[[#This Row],[Awal]],(Table1[[#This Row],[Akhir]]+1)-Table1[[#This Row],[Awal]],Table1[[#This Row],[Akhir]]-Table1[[#This Row],[Awal]])*24</f>
        <v>12</v>
      </c>
      <c r="O581" t="str">
        <f>IF(Table1[[#This Row],[Duration Real]]&gt;=6,"Major",
IF(Table1[[#This Row],[Duration Real]]&gt;=2,"Medium","Minor"))</f>
        <v>Major</v>
      </c>
    </row>
    <row r="582" spans="1:15" x14ac:dyDescent="0.35">
      <c r="A582" s="2">
        <v>46164</v>
      </c>
      <c r="B582" t="s">
        <v>15</v>
      </c>
      <c r="C582" t="s">
        <v>76</v>
      </c>
      <c r="D582" t="s">
        <v>190</v>
      </c>
      <c r="E582" t="s">
        <v>444</v>
      </c>
      <c r="F582" s="3">
        <v>0.68263888888888891</v>
      </c>
      <c r="G582" s="4">
        <v>0.75</v>
      </c>
      <c r="H582" s="5" t="s">
        <v>19</v>
      </c>
      <c r="I582" t="s">
        <v>26</v>
      </c>
      <c r="J582" t="s">
        <v>24</v>
      </c>
      <c r="K582" t="s">
        <v>22</v>
      </c>
      <c r="L582" t="s">
        <v>366</v>
      </c>
      <c r="M582" t="s">
        <v>24</v>
      </c>
      <c r="N582">
        <f>IF(Table1[[#This Row],[Akhir]]&lt;Table1[[#This Row],[Awal]],(Table1[[#This Row],[Akhir]]+1)-Table1[[#This Row],[Awal]],Table1[[#This Row],[Akhir]]-Table1[[#This Row],[Awal]])*24</f>
        <v>1.6166666666666663</v>
      </c>
      <c r="O582" t="str">
        <f>IF(Table1[[#This Row],[Duration Real]]&gt;=6,"Major",
IF(Table1[[#This Row],[Duration Real]]&gt;=2,"Medium","Minor"))</f>
        <v>Minor</v>
      </c>
    </row>
    <row r="583" spans="1:15" x14ac:dyDescent="0.35">
      <c r="A583" s="2">
        <v>46164</v>
      </c>
      <c r="B583" t="s">
        <v>15</v>
      </c>
      <c r="C583" t="s">
        <v>76</v>
      </c>
      <c r="D583" t="s">
        <v>663</v>
      </c>
      <c r="E583" t="s">
        <v>664</v>
      </c>
      <c r="F583" s="3">
        <v>0.25</v>
      </c>
      <c r="G583" s="4">
        <v>0.45</v>
      </c>
      <c r="H583" s="5" t="s">
        <v>19</v>
      </c>
      <c r="I583" t="s">
        <v>26</v>
      </c>
      <c r="J583" t="s">
        <v>24</v>
      </c>
      <c r="K583" t="s">
        <v>22</v>
      </c>
      <c r="L583" t="s">
        <v>366</v>
      </c>
      <c r="M583" t="s">
        <v>24</v>
      </c>
      <c r="N583">
        <f>IF(Table1[[#This Row],[Akhir]]&lt;Table1[[#This Row],[Awal]],(Table1[[#This Row],[Akhir]]+1)-Table1[[#This Row],[Awal]],Table1[[#This Row],[Akhir]]-Table1[[#This Row],[Awal]])*24</f>
        <v>4.8000000000000007</v>
      </c>
      <c r="O583" t="str">
        <f>IF(Table1[[#This Row],[Duration Real]]&gt;=6,"Major",
IF(Table1[[#This Row],[Duration Real]]&gt;=2,"Medium","Minor"))</f>
        <v>Medium</v>
      </c>
    </row>
    <row r="584" spans="1:15" x14ac:dyDescent="0.35">
      <c r="A584" s="2">
        <v>46164</v>
      </c>
      <c r="B584" t="s">
        <v>15</v>
      </c>
      <c r="C584" t="s">
        <v>85</v>
      </c>
      <c r="D584" t="s">
        <v>313</v>
      </c>
      <c r="E584" t="s">
        <v>158</v>
      </c>
      <c r="F584" s="3">
        <v>0.28263888888888888</v>
      </c>
      <c r="G584" s="4">
        <v>0.31041666666666667</v>
      </c>
      <c r="H584" s="5" t="s">
        <v>19</v>
      </c>
      <c r="I584" t="s">
        <v>26</v>
      </c>
      <c r="J584" t="s">
        <v>665</v>
      </c>
      <c r="K584" t="s">
        <v>22</v>
      </c>
      <c r="L584" t="s">
        <v>666</v>
      </c>
      <c r="M584" t="s">
        <v>24</v>
      </c>
      <c r="N584">
        <f>IF(Table1[[#This Row],[Akhir]]&lt;Table1[[#This Row],[Awal]],(Table1[[#This Row],[Akhir]]+1)-Table1[[#This Row],[Awal]],Table1[[#This Row],[Akhir]]-Table1[[#This Row],[Awal]])*24</f>
        <v>0.66666666666666696</v>
      </c>
      <c r="O584" t="str">
        <f>IF(Table1[[#This Row],[Duration Real]]&gt;=6,"Major",
IF(Table1[[#This Row],[Duration Real]]&gt;=2,"Medium","Minor"))</f>
        <v>Minor</v>
      </c>
    </row>
    <row r="585" spans="1:15" x14ac:dyDescent="0.35">
      <c r="A585" s="2">
        <v>46164</v>
      </c>
      <c r="B585" t="s">
        <v>15</v>
      </c>
      <c r="C585" t="s">
        <v>88</v>
      </c>
      <c r="D585" t="s">
        <v>667</v>
      </c>
      <c r="E585" t="s">
        <v>668</v>
      </c>
      <c r="F585" s="3">
        <v>0.54166666666666663</v>
      </c>
      <c r="G585" s="4">
        <v>0.71180555555555558</v>
      </c>
      <c r="H585" s="5" t="s">
        <v>19</v>
      </c>
      <c r="I585" t="s">
        <v>26</v>
      </c>
      <c r="J585" t="s">
        <v>24</v>
      </c>
      <c r="K585" t="s">
        <v>22</v>
      </c>
      <c r="L585" t="s">
        <v>23</v>
      </c>
      <c r="M585" t="s">
        <v>24</v>
      </c>
      <c r="N585">
        <f>IF(Table1[[#This Row],[Akhir]]&lt;Table1[[#This Row],[Awal]],(Table1[[#This Row],[Akhir]]+1)-Table1[[#This Row],[Awal]],Table1[[#This Row],[Akhir]]-Table1[[#This Row],[Awal]])*24</f>
        <v>4.0833333333333348</v>
      </c>
      <c r="O585" t="str">
        <f>IF(Table1[[#This Row],[Duration Real]]&gt;=6,"Major",
IF(Table1[[#This Row],[Duration Real]]&gt;=2,"Medium","Minor"))</f>
        <v>Medium</v>
      </c>
    </row>
    <row r="586" spans="1:15" x14ac:dyDescent="0.35">
      <c r="A586" s="2">
        <v>46164</v>
      </c>
      <c r="B586" t="s">
        <v>94</v>
      </c>
      <c r="C586" t="s">
        <v>95</v>
      </c>
      <c r="D586" t="s">
        <v>669</v>
      </c>
      <c r="E586" t="s">
        <v>670</v>
      </c>
      <c r="F586" s="3">
        <v>0.28611111111111109</v>
      </c>
      <c r="G586" s="4">
        <v>0.39166666666666666</v>
      </c>
      <c r="H586" s="5" t="s">
        <v>19</v>
      </c>
      <c r="I586" t="s">
        <v>26</v>
      </c>
      <c r="J586" t="s">
        <v>671</v>
      </c>
      <c r="K586" t="s">
        <v>22</v>
      </c>
      <c r="L586" t="s">
        <v>672</v>
      </c>
      <c r="M586" t="s">
        <v>24</v>
      </c>
      <c r="N586">
        <f>IF(Table1[[#This Row],[Akhir]]&lt;Table1[[#This Row],[Awal]],(Table1[[#This Row],[Akhir]]+1)-Table1[[#This Row],[Awal]],Table1[[#This Row],[Akhir]]-Table1[[#This Row],[Awal]])*24</f>
        <v>2.5333333333333337</v>
      </c>
      <c r="O586" t="str">
        <f>IF(Table1[[#This Row],[Duration Real]]&gt;=6,"Major",
IF(Table1[[#This Row],[Duration Real]]&gt;=2,"Medium","Minor"))</f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 Abdi</dc:creator>
  <cp:lastModifiedBy>Muhammad Nur Abdi</cp:lastModifiedBy>
  <dcterms:created xsi:type="dcterms:W3CDTF">2026-05-25T03:39:19Z</dcterms:created>
  <dcterms:modified xsi:type="dcterms:W3CDTF">2026-05-25T03:39:53Z</dcterms:modified>
</cp:coreProperties>
</file>